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workbookProtection/>
  <bookViews>
    <workbookView activeTab="0" autoFilterDateGrouping="1" firstSheet="0" minimized="0" showHorizontalScroll="1" showSheetTabs="1" showVerticalScroll="1" tabRatio="600" visibility="visible"/>
  </bookViews>
  <sheets>
    <sheet name="Exported Leads" sheetId="1" state="visible" r:id="rId1"/>
  </sheets>
  <definedNames/>
  <calcPr calcId="124519" fullCalcOnLoad="1"/>
</workbook>
</file>

<file path=xl/sharedStrings.xml><?xml version="1.0" encoding="utf-8"?>
<sst xmlns="http://schemas.openxmlformats.org/spreadsheetml/2006/main" uniqueCount="1457">
  <si>
    <t>Lead Id</t>
  </si>
  <si>
    <t>Name</t>
  </si>
  <si>
    <t>Lead State</t>
  </si>
  <si>
    <t>Assigned To</t>
  </si>
  <si>
    <t>Lead Group</t>
  </si>
  <si>
    <t>Lead Source</t>
  </si>
  <si>
    <t>Created On</t>
  </si>
  <si>
    <t>Lead Last State Change From</t>
  </si>
  <si>
    <t>Lead Last State Changed On</t>
  </si>
  <si>
    <t>Phone:Work</t>
  </si>
  <si>
    <t>Email:Work</t>
  </si>
  <si>
    <t>Email:1</t>
  </si>
  <si>
    <t>Sub Source</t>
  </si>
  <si>
    <t>CP Firm Name</t>
  </si>
  <si>
    <t>CP Executive Name</t>
  </si>
  <si>
    <t>CP Executive Contact No</t>
  </si>
  <si>
    <t>Referral Name</t>
  </si>
  <si>
    <t>Referral Contact No</t>
  </si>
  <si>
    <t>Project</t>
  </si>
  <si>
    <t>Project Visited</t>
  </si>
  <si>
    <t>Project Interest</t>
  </si>
  <si>
    <t>Unit Type</t>
  </si>
  <si>
    <t>Carpet Area (In SqFt)</t>
  </si>
  <si>
    <t>Buying Purpose</t>
  </si>
  <si>
    <t>Budget</t>
  </si>
  <si>
    <t>Location</t>
  </si>
  <si>
    <t>Flat Type</t>
  </si>
  <si>
    <t>Address</t>
  </si>
  <si>
    <t>Visit Date</t>
  </si>
  <si>
    <t>Attented By</t>
  </si>
  <si>
    <t>Buying Intent</t>
  </si>
  <si>
    <t>Visit Comment</t>
  </si>
  <si>
    <t>2nd Visit Date</t>
  </si>
  <si>
    <t>2nd Visit Comment</t>
  </si>
  <si>
    <t>Rejected</t>
  </si>
  <si>
    <t>Presales</t>
  </si>
  <si>
    <t>Form Name</t>
  </si>
  <si>
    <t>Page Name</t>
  </si>
  <si>
    <t>Campaign Name</t>
  </si>
  <si>
    <t>Best Time To Call</t>
  </si>
  <si>
    <t>WhatsApp Number</t>
  </si>
  <si>
    <t>Nature Of Work</t>
  </si>
  <si>
    <t>GRE Attended</t>
  </si>
  <si>
    <t>2nd SV Project Visited</t>
  </si>
  <si>
    <t>2nd SV Flat Configuration</t>
  </si>
  <si>
    <t>2nd SV Budget</t>
  </si>
  <si>
    <t>Wing</t>
  </si>
  <si>
    <t>Call Status</t>
  </si>
  <si>
    <t>Chintamani koshti</t>
  </si>
  <si>
    <t>Warm</t>
  </si>
  <si>
    <t>Pranav Satpute</t>
  </si>
  <si>
    <t>Leads</t>
  </si>
  <si>
    <t>Channel Partner</t>
  </si>
  <si>
    <t>18/01/26 05:59 PM</t>
  </si>
  <si>
    <t>Cold</t>
  </si>
  <si>
    <t>19/01/26 06:16 PM</t>
  </si>
  <si>
    <t>+91 98233 32630</t>
  </si>
  <si>
    <t>Legacy Milestone</t>
  </si>
  <si>
    <t>2 BHK</t>
  </si>
  <si>
    <t>75L - 90L</t>
  </si>
  <si>
    <t>pune</t>
  </si>
  <si>
    <t>18/01/26 12:00 AM</t>
  </si>
  <si>
    <t>student</t>
  </si>
  <si>
    <t>Neerja Sharma</t>
  </si>
  <si>
    <t>Pranita sharma</t>
  </si>
  <si>
    <t>Site Visit Done</t>
  </si>
  <si>
    <t>Sanket Jejurkar</t>
  </si>
  <si>
    <t>28/01/26 03:58 PM</t>
  </si>
  <si>
    <t>+91 99234 06696</t>
  </si>
  <si>
    <t>Legacy Kairos</t>
  </si>
  <si>
    <t>3.5 BHK</t>
  </si>
  <si>
    <t>Self</t>
  </si>
  <si>
    <t>1.5 - 2.0Cr</t>
  </si>
  <si>
    <t>28/01/26 12:00 AM</t>
  </si>
  <si>
    <t>Sakshi Jamdar</t>
  </si>
  <si>
    <t>Rinku Rohra Hansen</t>
  </si>
  <si>
    <t>Reengage</t>
  </si>
  <si>
    <t>Smita Kad</t>
  </si>
  <si>
    <t>Walk-In</t>
  </si>
  <si>
    <t>09/01/26 12:45 PM</t>
  </si>
  <si>
    <t>28/01/26 03:56 PM</t>
  </si>
  <si>
    <t>+91 99703 18626</t>
  </si>
  <si>
    <t>Kairos - 27-01-2026</t>
  </si>
  <si>
    <t>3 BHK</t>
  </si>
  <si>
    <t>1100 - 1200</t>
  </si>
  <si>
    <t>1.5 - 1.6 Cr</t>
  </si>
  <si>
    <t>Rahatani</t>
  </si>
  <si>
    <t>Residential</t>
  </si>
  <si>
    <t>03/01/26 12:00 AM</t>
  </si>
  <si>
    <t>Flat Availability Issue</t>
  </si>
  <si>
    <t xml:space="preserve">Suresh jambhulkat </t>
  </si>
  <si>
    <t>Sonali Shinde</t>
  </si>
  <si>
    <t>28/01/26 03:55 PM</t>
  </si>
  <si>
    <t>+91 99235 88105</t>
  </si>
  <si>
    <t>4 BHK</t>
  </si>
  <si>
    <t>Parul</t>
  </si>
  <si>
    <t>28/01/26 03:53 PM</t>
  </si>
  <si>
    <t>+91 74080 90649</t>
  </si>
  <si>
    <t xml:space="preserve">Kalpesh </t>
  </si>
  <si>
    <t>28/01/26 03:45 PM</t>
  </si>
  <si>
    <t>+91 70902 18655</t>
  </si>
  <si>
    <t>1.15 - 1.3CR</t>
  </si>
  <si>
    <t>Ashok Patil</t>
  </si>
  <si>
    <t xml:space="preserve">Channel Partner </t>
  </si>
  <si>
    <t>09/01/26 12:31 PM</t>
  </si>
  <si>
    <t>28/01/26 03:42 PM</t>
  </si>
  <si>
    <t>+91 97692 71135</t>
  </si>
  <si>
    <t>Krishraj Realtors Pvt ltd</t>
  </si>
  <si>
    <t>Jay pal</t>
  </si>
  <si>
    <t>8956616742.00</t>
  </si>
  <si>
    <t>4BHK</t>
  </si>
  <si>
    <t>1500 - 1600</t>
  </si>
  <si>
    <t>2 - 2.1 Cr</t>
  </si>
  <si>
    <t>Invalid Number</t>
  </si>
  <si>
    <t xml:space="preserve">Deepak shitole </t>
  </si>
  <si>
    <t>+91 99608 96220</t>
  </si>
  <si>
    <t>Satish Otswal</t>
  </si>
  <si>
    <t>Aishwarya Gulave</t>
  </si>
  <si>
    <t>24/01/26 05:53 PM</t>
  </si>
  <si>
    <t>Open</t>
  </si>
  <si>
    <t>24/01/26 05:58 PM</t>
  </si>
  <si>
    <t>+91 99222 14611</t>
  </si>
  <si>
    <t>Shashank Waghole(Individual firm)</t>
  </si>
  <si>
    <t>8380090833</t>
  </si>
  <si>
    <t>Aqualife</t>
  </si>
  <si>
    <t>1000 - 1100</t>
  </si>
  <si>
    <t>90 -1 Cr</t>
  </si>
  <si>
    <t>Ravet</t>
  </si>
  <si>
    <t>24/01/26 12:00 AM</t>
  </si>
  <si>
    <t>site visit done with wife - looking for self use - his son and daughter in law living in Poland</t>
  </si>
  <si>
    <t>Gaurav Patil</t>
  </si>
  <si>
    <t xml:space="preserve">Digital, Digital
</t>
  </si>
  <si>
    <t>31/12/25 06:59 PM</t>
  </si>
  <si>
    <t>28/01/26 03:40 PM</t>
  </si>
  <si>
    <t>+91 96045 08551</t>
  </si>
  <si>
    <t>patilgauravr@gmail.com</t>
  </si>
  <si>
    <t>The Statement, Legacy Kairos</t>
  </si>
  <si>
    <t>1.7 - 1.8 Cr</t>
  </si>
  <si>
    <t>02/01/26 12:00 AM</t>
  </si>
  <si>
    <t>Plan Postponed</t>
  </si>
  <si>
    <t>Legacy Kairos Pimple Saudagar Generic New</t>
  </si>
  <si>
    <t>Legacy Kairos Pimple Saudagar Generic</t>
  </si>
  <si>
    <t>Amit Bothara</t>
  </si>
  <si>
    <t>+91 85302 58999</t>
  </si>
  <si>
    <t>Vishrut</t>
  </si>
  <si>
    <t>Direct Walkin, Google</t>
  </si>
  <si>
    <t>11/01/26 02:00 PM</t>
  </si>
  <si>
    <t>23/01/26 11:49 AM</t>
  </si>
  <si>
    <t>+91 96733 20043</t>
  </si>
  <si>
    <t>90L - 1.15CR</t>
  </si>
  <si>
    <t>11/01/26 12:00 AM</t>
  </si>
  <si>
    <t>Budget Mismatch</t>
  </si>
  <si>
    <t>Janaki patil</t>
  </si>
  <si>
    <t>10/01/26 03:46 PM</t>
  </si>
  <si>
    <t>28/01/26 03:34 PM</t>
  </si>
  <si>
    <t>+1 928-474-3578</t>
  </si>
  <si>
    <t>janakisp@gmail.com</t>
  </si>
  <si>
    <t>+91 92847 23578</t>
  </si>
  <si>
    <t>Shukratara, Pimple saudagar..pune 27</t>
  </si>
  <si>
    <t>10/01/26 12:00 AM</t>
  </si>
  <si>
    <t xml:space="preserve">Vinod chetwani </t>
  </si>
  <si>
    <t>Direct Walkin</t>
  </si>
  <si>
    <t>28/01/26 03:30 PM</t>
  </si>
  <si>
    <t>+91 94228 81973</t>
  </si>
  <si>
    <t>1.3 - 1.5Cr</t>
  </si>
  <si>
    <t>Mahendra Tejwani</t>
  </si>
  <si>
    <t>28/01/26 03:27 PM</t>
  </si>
  <si>
    <t>+91 98500 74973</t>
  </si>
  <si>
    <t>Hemant pete</t>
  </si>
  <si>
    <t>28/01/26 03:26 PM</t>
  </si>
  <si>
    <t>+91 93258 39939</t>
  </si>
  <si>
    <t>60L - 75L</t>
  </si>
  <si>
    <t>Anshu</t>
  </si>
  <si>
    <t>28/01/26 03:23 PM</t>
  </si>
  <si>
    <t>+91 90963 61326</t>
  </si>
  <si>
    <t>Sham Pakhale</t>
  </si>
  <si>
    <t>28/01/26 03:19 PM</t>
  </si>
  <si>
    <t>+91 87966 14233</t>
  </si>
  <si>
    <t>Santosh pardeshi</t>
  </si>
  <si>
    <t>28/01/26 03:18 PM</t>
  </si>
  <si>
    <t>+91 98811 09406</t>
  </si>
  <si>
    <t>Shetwa Dekate</t>
  </si>
  <si>
    <t>11/01/26 11:29 AM</t>
  </si>
  <si>
    <t>28/01/26 03:09 PM</t>
  </si>
  <si>
    <t>+91 97665 72583</t>
  </si>
  <si>
    <t>70 - 80 Lac</t>
  </si>
  <si>
    <t>Vinod kori</t>
  </si>
  <si>
    <t>Site Branding</t>
  </si>
  <si>
    <t>10/01/26 11:21 AM</t>
  </si>
  <si>
    <t>11/01/26 12:53 PM</t>
  </si>
  <si>
    <t>+91 98901 51312</t>
  </si>
  <si>
    <t>goodluckent09@gmail.com</t>
  </si>
  <si>
    <t>2.5 BHK</t>
  </si>
  <si>
    <t>Jagannath Shingade</t>
  </si>
  <si>
    <t>09/01/26 02:21 PM</t>
  </si>
  <si>
    <t>09/01/26 05:07 PM</t>
  </si>
  <si>
    <t>+91 84466 19865</t>
  </si>
  <si>
    <t>Pimple Saudagar</t>
  </si>
  <si>
    <t>06/01/26 12:00 AM</t>
  </si>
  <si>
    <t>Hitesh Agrawal</t>
  </si>
  <si>
    <t>09/01/26 02:23 PM</t>
  </si>
  <si>
    <t>09/01/26 05:03 PM</t>
  </si>
  <si>
    <t>+91 70201 88446</t>
  </si>
  <si>
    <t>3BHK/3.5 BHK</t>
  </si>
  <si>
    <t xml:space="preserve">Madhusudan </t>
  </si>
  <si>
    <t>b1661b57-0ef2-4239-85de-485ef8f40788</t>
  </si>
  <si>
    <t>Channel Partner, Offline</t>
  </si>
  <si>
    <t>28/01/26 01:50 PM</t>
  </si>
  <si>
    <t>+91 91300 99222</t>
  </si>
  <si>
    <t>asset</t>
  </si>
  <si>
    <t>Jason karmokar</t>
  </si>
  <si>
    <t>Shubhantu Yadav</t>
  </si>
  <si>
    <t>24/01/26 04:22 PM</t>
  </si>
  <si>
    <t>24/01/26 07:11 PM</t>
  </si>
  <si>
    <t>+91 90679 90463</t>
  </si>
  <si>
    <t>Amita Nilesh Jadhav</t>
  </si>
  <si>
    <t>11/01/26 01:46 PM</t>
  </si>
  <si>
    <t>28/01/26 01:46 PM</t>
  </si>
  <si>
    <t>+91 96653 37755</t>
  </si>
  <si>
    <t>The skyline Properties</t>
  </si>
  <si>
    <t>Piyush Kambale</t>
  </si>
  <si>
    <t>8788279494.00</t>
  </si>
  <si>
    <t>2.5 BHK/3BHK</t>
  </si>
  <si>
    <t>800 - 900</t>
  </si>
  <si>
    <t>site visit done with husband and daughter</t>
  </si>
  <si>
    <t>Did not respond after 7 attempts</t>
  </si>
  <si>
    <t>GAURAV PORWAL</t>
  </si>
  <si>
    <t>27/12/25 08:04 AM</t>
  </si>
  <si>
    <t>23/01/26 11:35 AM</t>
  </si>
  <si>
    <t>+91 72191 00456</t>
  </si>
  <si>
    <t>G.porwal@hotmail.com</t>
  </si>
  <si>
    <t>+91 72191 00432</t>
  </si>
  <si>
    <t>20/01/26 12:00 AM</t>
  </si>
  <si>
    <t>Location Mismatch</t>
  </si>
  <si>
    <t>Shashank wadalkar</t>
  </si>
  <si>
    <t>Omkar Khandge</t>
  </si>
  <si>
    <t>referral</t>
  </si>
  <si>
    <t>25/01/26 06:52 PM</t>
  </si>
  <si>
    <t>26/01/26 12:18 PM</t>
  </si>
  <si>
    <t>+91 95270 09994</t>
  </si>
  <si>
    <t>deepak argade B-2102</t>
  </si>
  <si>
    <t>9881401580.00</t>
  </si>
  <si>
    <t>25/01/26 12:00 AM</t>
  </si>
  <si>
    <t>PRATIK BHOSALE</t>
  </si>
  <si>
    <t>Shubham Sangamnerkar</t>
  </si>
  <si>
    <t>Channel Partners, Digital, Direct Walkin, Setu Digital Ads, WhatsApp</t>
  </si>
  <si>
    <t>02/04/25 02:53 PM</t>
  </si>
  <si>
    <t>re_visit_done</t>
  </si>
  <si>
    <t>28/01/26 01:14 PM</t>
  </si>
  <si>
    <t>+91 79726 11803</t>
  </si>
  <si>
    <t>pbs159@gmail.com</t>
  </si>
  <si>
    <t>+91 87881 51025</t>
  </si>
  <si>
    <t>harshada 9373767325</t>
  </si>
  <si>
    <t>Yes Homes</t>
  </si>
  <si>
    <t>700 - 800</t>
  </si>
  <si>
    <t>70  - 80 Lac</t>
  </si>
  <si>
    <t>Acqualife - 25 June 2025</t>
  </si>
  <si>
    <t>Legacy - Aqualife - LeadGen - Oct  2025</t>
  </si>
  <si>
    <t>11 AM to 1 PM</t>
  </si>
  <si>
    <t>.</t>
  </si>
  <si>
    <t>Ajay pawar</t>
  </si>
  <si>
    <t>17/01/26 01:21 PM</t>
  </si>
  <si>
    <t>17/01/26 07:11 PM</t>
  </si>
  <si>
    <t>+91 96898 54103</t>
  </si>
  <si>
    <t>17/01/26 12:00 AM</t>
  </si>
  <si>
    <t>Call Not Connected</t>
  </si>
  <si>
    <t>Ankita nagrekar</t>
  </si>
  <si>
    <t>17/01/26 02:12 PM</t>
  </si>
  <si>
    <t>22/01/26 05:31 PM</t>
  </si>
  <si>
    <t>+91 98237 81088</t>
  </si>
  <si>
    <t>Booked in Other Project</t>
  </si>
  <si>
    <t>vaibhav shinde</t>
  </si>
  <si>
    <t>24/01/26 06:57 PM</t>
  </si>
  <si>
    <t>+91 98605 81317</t>
  </si>
  <si>
    <t>vaibhavs@gmail.com</t>
  </si>
  <si>
    <t>PUNE</t>
  </si>
  <si>
    <t>Sneha Patil</t>
  </si>
  <si>
    <t xml:space="preserve">Navin Janjid </t>
  </si>
  <si>
    <t>11/01/26 03:48 PM</t>
  </si>
  <si>
    <t>16/01/26 05:47 PM</t>
  </si>
  <si>
    <t>+91 99103 43294</t>
  </si>
  <si>
    <t>navinjinjad@gmail.com</t>
  </si>
  <si>
    <t>30L - 45L</t>
  </si>
  <si>
    <t>Plan cancelled</t>
  </si>
  <si>
    <t>Connected</t>
  </si>
  <si>
    <t>Tukaram Pawar</t>
  </si>
  <si>
    <t>Channel Partner, WhatsApp</t>
  </si>
  <si>
    <t>24/01/26 02:27 PM</t>
  </si>
  <si>
    <t>26/01/26 12:21 PM</t>
  </si>
  <si>
    <t>+91 80101 67476</t>
  </si>
  <si>
    <t>tukapawar@gmail.com</t>
  </si>
  <si>
    <t>trampawar2703@gmail.com</t>
  </si>
  <si>
    <t>Legacy at Ravet</t>
  </si>
  <si>
    <t>jui bobde</t>
  </si>
  <si>
    <t>18/01/26 05:24 PM</t>
  </si>
  <si>
    <t>21/01/26 06:54 PM</t>
  </si>
  <si>
    <t>+91 94040 86299</t>
  </si>
  <si>
    <t>joibobade@gmail.com</t>
  </si>
  <si>
    <t>+1 940-408-6299</t>
  </si>
  <si>
    <t>+91 95611 46466</t>
  </si>
  <si>
    <t>pranav jambare</t>
  </si>
  <si>
    <t>16/01/26 06:12 PM</t>
  </si>
  <si>
    <t>16/01/26 06:24 PM</t>
  </si>
  <si>
    <t>+91 75075 03713</t>
  </si>
  <si>
    <t>16/01/26 12:00 AM</t>
  </si>
  <si>
    <t>Anjali gond</t>
  </si>
  <si>
    <t>10/01/26 06:26 PM</t>
  </si>
  <si>
    <t>14/01/26 05:10 PM</t>
  </si>
  <si>
    <t>+91 89896 76557</t>
  </si>
  <si>
    <t>vaibhav avinase</t>
  </si>
  <si>
    <t>10/01/26 04:59 PM</t>
  </si>
  <si>
    <t>14/01/26 05:09 PM</t>
  </si>
  <si>
    <t>+91 91568 30675</t>
  </si>
  <si>
    <t>vaibhavavi@gmail.com</t>
  </si>
  <si>
    <t>hadapsar</t>
  </si>
  <si>
    <t xml:space="preserve">Hitesh Verma </t>
  </si>
  <si>
    <t>12/01/26 04:34 PM</t>
  </si>
  <si>
    <t>14/01/26 07:43 PM</t>
  </si>
  <si>
    <t>+91 90965 16437</t>
  </si>
  <si>
    <t>12/01/26 12:00 AM</t>
  </si>
  <si>
    <t>yash kothawode</t>
  </si>
  <si>
    <t>10/01/26 05:09 PM</t>
  </si>
  <si>
    <t>+91 84118 22769</t>
  </si>
  <si>
    <t>Prashant</t>
  </si>
  <si>
    <t>25/01/26 02:07 PM</t>
  </si>
  <si>
    <t>+91 98300 40545</t>
  </si>
  <si>
    <t>prashantsk@rediffmail.com</t>
  </si>
  <si>
    <t>PRATHAMESH CHAVAN</t>
  </si>
  <si>
    <t>Sunil Mane</t>
  </si>
  <si>
    <t>Incoming Call - Rahatne</t>
  </si>
  <si>
    <t>25/01/26 01:06 PM</t>
  </si>
  <si>
    <t>28/01/26 12:48 PM</t>
  </si>
  <si>
    <t>+91 86250 31590</t>
  </si>
  <si>
    <t>900 - 1000</t>
  </si>
  <si>
    <t>Punawale</t>
  </si>
  <si>
    <t>Client Name - Prathmesh Chavan
Carpet - 948
Budget - 80 lakhs
Floor - 9 to 15th
Remarks - The client visited with his father; they're looking for a 3BHK nearby his job connectivity; currently they reside in Dighi. After going through all the options, they selected A-1703(948); it is slightly higher than their expected floor. They asked for 80 lakhs and don't believe that pricing is suitable as per location. I've explained all the pros of the future connectivity and the development of the location. They want to sell a property they already have and invest that money in cash in this project, but I explained it is not possible. They said that the flat goes for higher pricing than they expected. They'll discuss it once with the family and might revert in a few days.</t>
  </si>
  <si>
    <t>jaywant jagtap</t>
  </si>
  <si>
    <t>26/01/26 05:28 PM</t>
  </si>
  <si>
    <t>+91 92268 16573</t>
  </si>
  <si>
    <t>26/01/26 12:00 AM</t>
  </si>
  <si>
    <t>Anirudh malviya</t>
  </si>
  <si>
    <t>24/01/26 06:51 PM</t>
  </si>
  <si>
    <t>28/01/26 12:41 PM</t>
  </si>
  <si>
    <t>+91 99232 08149</t>
  </si>
  <si>
    <t>Client Name - Anirudh Malviya
Carpet -  1400+
Budget - 1 cr.
Remarks - The client visited with his spouse; they're looking for a 3BHK with bigger rooms &amp; hall. He owns a 2BHK in Landbreeze, Punawale. He wants to upgrade now but didn't like our sample flat. He said that he'll revert if he wants to continue with us. I explained about the existing project too; he has liked a flat in Tulip (Punawale), and they're providing 1280 carpets.</t>
  </si>
  <si>
    <t>Self Employed</t>
  </si>
  <si>
    <t>Amit Neharkar</t>
  </si>
  <si>
    <t>27/01/26 03:31 PM</t>
  </si>
  <si>
    <t>+91 77698 27523</t>
  </si>
  <si>
    <t>amun@gmail.com</t>
  </si>
  <si>
    <t>Anurag Kumar</t>
  </si>
  <si>
    <t>10/01/26 06:23 PM</t>
  </si>
  <si>
    <t>16/01/26 06:14 PM</t>
  </si>
  <si>
    <t>+91 86966 74822</t>
  </si>
  <si>
    <t>Interested to Buy</t>
  </si>
  <si>
    <t>Unit type - 2BHK
Carpet - 700+
Budget - 70 lakhs
Remarks- The client came with his wife; they're looking for a 2BHK. They reside in Hinjewadi ph1 (VJ). His work location is Baner, so he wants the best connectivity to that. They chose B-2304. He said his friends and colleagues already have booked some flats in the Legacy Milestone. They might take some time to discuss and revert.</t>
  </si>
  <si>
    <t>Nikhil Sakpal</t>
  </si>
  <si>
    <t>11/01/26 03:11 PM</t>
  </si>
  <si>
    <t>28/01/26 12:23 PM</t>
  </si>
  <si>
    <t>+91 98205 43730</t>
  </si>
  <si>
    <t>Client Name - Nikhil Sapkal
Unit type - 3BHK 
Carpet - 1000+
Budget - 90 lakhs
Remarks- The client visited with his spouse. They're looking for a 3BHK. They reside in Talegaon, and they're from Nagpur. I've suggested a few east-facing options, as his spouse wanted east-west balconies. The client said that they want a Vaastu-compliant flat. His mother knows more about it; look into that, and they want to show her first and might revert in a few days.</t>
  </si>
  <si>
    <t>Service</t>
  </si>
  <si>
    <t>amol marne</t>
  </si>
  <si>
    <t>Manisha Singh</t>
  </si>
  <si>
    <t>01/01/26 12:35 PM</t>
  </si>
  <si>
    <t>Site Visit Scheduled</t>
  </si>
  <si>
    <t>23/01/26 12:01 PM</t>
  </si>
  <si>
    <t>+91 97655 66667</t>
  </si>
  <si>
    <t>Legacy Kairos, The Statement</t>
  </si>
  <si>
    <t>1 BHK</t>
  </si>
  <si>
    <t>1400 - 1500</t>
  </si>
  <si>
    <t>1.6 - 1.7 Cr</t>
  </si>
  <si>
    <t>Sejal</t>
  </si>
  <si>
    <t>Manoj shingate</t>
  </si>
  <si>
    <t>18/01/26 03:36 PM</t>
  </si>
  <si>
    <t>19/01/26 01:02 PM</t>
  </si>
  <si>
    <t>+91 94220 03232</t>
  </si>
  <si>
    <t>VISHAL DHARMANI</t>
  </si>
  <si>
    <t xml:space="preserve">Don't compromise your space, Facebook, Feel Kairos Again, Happy Holi, Holi Offer, Kairos Visited Data, LAST DAY APPORTUNITY-OWN IT, Legacy Milestone 6, Success Story, TIME TO  TAKE A DESCISION, Visited Data, Women's Day Exclusive  Offer </t>
  </si>
  <si>
    <t>16/07/24 10:26 AM</t>
  </si>
  <si>
    <t>04/03/25 06:11 PM</t>
  </si>
  <si>
    <t>+91 98906 26202</t>
  </si>
  <si>
    <t>dharmanivishal777@gmail.com</t>
  </si>
  <si>
    <t>LEGACY KAIROS, Legacy KAIROS, Legacy Kairos</t>
  </si>
  <si>
    <t>Not Interested</t>
  </si>
  <si>
    <t>mayank naik</t>
  </si>
  <si>
    <t>18/01/26 05:32 PM</t>
  </si>
  <si>
    <t>19/01/26 12:46 PM</t>
  </si>
  <si>
    <t>+91 92266 83052</t>
  </si>
  <si>
    <t>mayanknaik@gmail.com</t>
  </si>
  <si>
    <t>sagar sarang</t>
  </si>
  <si>
    <t>Hot</t>
  </si>
  <si>
    <t>25/01/26 02:38 PM</t>
  </si>
  <si>
    <t>26/01/26 06:39 PM</t>
  </si>
  <si>
    <t>+91 99960 30561</t>
  </si>
  <si>
    <t>PUNEET SHRIVASTAV</t>
  </si>
  <si>
    <t>24/01/26 02:46 PM</t>
  </si>
  <si>
    <t>25/01/26 06:18 PM</t>
  </si>
  <si>
    <t>+91 77568 69355</t>
  </si>
  <si>
    <t>Hoardings</t>
  </si>
  <si>
    <t>Aqualife, Legacy Kairos</t>
  </si>
  <si>
    <t>1.1 - 1.2 Cr</t>
  </si>
  <si>
    <t>Client Name - Puneet Srivastav
Floor - 13th-15th floor
Budget - 90 lakhs.
Remarks - The client visited with his spouse; they're looking for a 3BHK with east-facing balconies. They've already visited Kairos and got to know the Milestone from there. They reside in Rahatni, and he works in Baner. They've liked the 956 variant which fits their vaastu requirement and other things. Said that they're searching some options right now but liked our project and will revert sooner about their decision.</t>
  </si>
  <si>
    <t>GEETHA NAIR</t>
  </si>
  <si>
    <t xml:space="preserve"> The Statement, Don't compromise your space, Feel Kairos Again, Happy Holi, Holi Offer, Kairos Visited Data, LAST DAY APPORTUNITY-OWN IT, Legacy Kairos Visited Data, Legacy Millenia 9, Sanctioned letter of The Statement, Success Story, TIME TO  TAKE A DESCISION, The Statement , Visited Data, Visited Data 1, Women's Day Exclusive  Offer </t>
  </si>
  <si>
    <t>19/07/24 01:10 AM</t>
  </si>
  <si>
    <t>+91 98600 72365</t>
  </si>
  <si>
    <t>geethalakshmi.nair@gmail.com</t>
  </si>
  <si>
    <t>achut lahule</t>
  </si>
  <si>
    <t>17/01/26 03:22 PM</t>
  </si>
  <si>
    <t>28/01/26 12:16 PM</t>
  </si>
  <si>
    <t>+91 95613 83797</t>
  </si>
  <si>
    <t>achutahule@gmail.com</t>
  </si>
  <si>
    <t>Rohan aher</t>
  </si>
  <si>
    <t>28/01/26 11:09 AM</t>
  </si>
  <si>
    <t>+91 80551 88999</t>
  </si>
  <si>
    <t>YOGESH PATIL</t>
  </si>
  <si>
    <t>18/01/26 02:43 PM</t>
  </si>
  <si>
    <t>19/01/26 12:22 PM</t>
  </si>
  <si>
    <t>+91 98509 06515</t>
  </si>
  <si>
    <t>ypatil@gmail.com</t>
  </si>
  <si>
    <t>Investment</t>
  </si>
  <si>
    <t>Client Name - Yogesh Patil 
Unit type - 3BHK
Carpet - 
Budget - 90 lakhs
Floor - above 15th 
Remarks—The client visited with his spouse; they're looking for a 2BHK. I have given them the options of D-2301 and B-2001. They reside at Wakad. They already own a flat in Pristine. They want to invest in the second one; I've also suggested some 3BHK options to them. They said they like the project but want to explore some more options in the market. They need around 1-2 weeks of time to discuss this further.</t>
  </si>
  <si>
    <t>Sagar Sonawane</t>
  </si>
  <si>
    <t>15/01/26 06:02 PM</t>
  </si>
  <si>
    <t>23/01/26 01:00 PM</t>
  </si>
  <si>
    <t>+91 99700 08968</t>
  </si>
  <si>
    <t>saggysonawane@gmail.com</t>
  </si>
  <si>
    <t>15/01/26 12:00 AM</t>
  </si>
  <si>
    <t>Dipa pakale</t>
  </si>
  <si>
    <t>11/01/26 06:07 PM</t>
  </si>
  <si>
    <t>26/01/26 06:27 PM</t>
  </si>
  <si>
    <t>+91 84335 90592</t>
  </si>
  <si>
    <t>pankaj oulkar</t>
  </si>
  <si>
    <t>11/01/26 04:17 PM</t>
  </si>
  <si>
    <t>14/01/26 05:14 PM</t>
  </si>
  <si>
    <t>+91 99753 82103</t>
  </si>
  <si>
    <t>Komal Beria</t>
  </si>
  <si>
    <t>24/01/26 01:19 PM</t>
  </si>
  <si>
    <t>+91 98199 27397</t>
  </si>
  <si>
    <t>Krupal</t>
  </si>
  <si>
    <t>18/01/26 01:08 PM</t>
  </si>
  <si>
    <t>+91 93220 50503</t>
  </si>
  <si>
    <t>krupalgov2014@gmail.com</t>
  </si>
  <si>
    <t>Saudagar</t>
  </si>
  <si>
    <t>Nikhil</t>
  </si>
  <si>
    <t>18/01/26 12:58 PM</t>
  </si>
  <si>
    <t>+91 86987 22002</t>
  </si>
  <si>
    <t>Duplex</t>
  </si>
  <si>
    <t>&gt;1.3CR</t>
  </si>
  <si>
    <t>Prashant sable</t>
  </si>
  <si>
    <t>18/01/26 02:45 PM</t>
  </si>
  <si>
    <t>+91 78409 80949</t>
  </si>
  <si>
    <t>1.15CR - 1.3CR</t>
  </si>
  <si>
    <t>Amol Nikam</t>
  </si>
  <si>
    <t>20/01/26 01:40 PM</t>
  </si>
  <si>
    <t>20/01/26 03:51 PM</t>
  </si>
  <si>
    <t>+91 99604 86277</t>
  </si>
  <si>
    <t xml:space="preserve">Swati Mahajan </t>
  </si>
  <si>
    <t>18/01/26 02:52 PM</t>
  </si>
  <si>
    <t>+91 94070 02263</t>
  </si>
  <si>
    <t>Aditya</t>
  </si>
  <si>
    <t>Digital, Digital Portals</t>
  </si>
  <si>
    <t>24/12/25 07:06 PM</t>
  </si>
  <si>
    <t>18/01/26 02:54 PM</t>
  </si>
  <si>
    <t>+91 97626 43854</t>
  </si>
  <si>
    <t>adityajoshi6576@gmail.com</t>
  </si>
  <si>
    <t>Pinaka Google</t>
  </si>
  <si>
    <t>The Statement</t>
  </si>
  <si>
    <t>1200 - 1300</t>
  </si>
  <si>
    <t>Nitin Nirmal</t>
  </si>
  <si>
    <t>Contact Us Page</t>
  </si>
  <si>
    <t>22/12/25 11:41 AM</t>
  </si>
  <si>
    <t>25/01/26 05:02 PM</t>
  </si>
  <si>
    <t>+91 96655 95258</t>
  </si>
  <si>
    <t>artikale619@gmail.com</t>
  </si>
  <si>
    <t>INESH KUMAR MOTWANI</t>
  </si>
  <si>
    <t xml:space="preserve"> B,  The Statement, Don't compromise your space, Feel Kairos Again, Happy Holi, Holi Offer, Kairos Visited Data, LAST DAY APPORTUNITY-OWN IT, Legacy Kairos , Legacy Kairos Visited Data, Legacy Kairos Visited Data Whats aap 1, Legacy Milestone 8, Sanctioned letter of The Statement, TIME TO  TAKE A DESCISION, The Statement , Visited Data, Visited Data 1, Women's Day Exclusive  Offer </t>
  </si>
  <si>
    <t>19/07/24 01:09 AM</t>
  </si>
  <si>
    <t>unqualified</t>
  </si>
  <si>
    <t>22/07/24 05:14 PM</t>
  </si>
  <si>
    <t>+91 90117 37210</t>
  </si>
  <si>
    <t>ineshmotwani1235@gmail.com</t>
  </si>
  <si>
    <t>Piyush Agarwal</t>
  </si>
  <si>
    <t>Sejal Satav</t>
  </si>
  <si>
    <t>16/01/26 06:30 PM</t>
  </si>
  <si>
    <t>27/01/26 05:52 PM</t>
  </si>
  <si>
    <t>+91 99709 38545</t>
  </si>
  <si>
    <t>Statement - 27-01-2026</t>
  </si>
  <si>
    <t>CP/ NO BROKER</t>
  </si>
  <si>
    <t>4BHK/4.5BHK</t>
  </si>
  <si>
    <t>2.2 - 2.3 Cr</t>
  </si>
  <si>
    <t>14/01/26 12:00 AM</t>
  </si>
  <si>
    <t>Abhijeet kate</t>
  </si>
  <si>
    <t>17/01/26 06:43 PM</t>
  </si>
  <si>
    <t>18/01/26 11:04 AM</t>
  </si>
  <si>
    <t>+91 90961 98683</t>
  </si>
  <si>
    <t xml:space="preserve">Test Ramesh </t>
  </si>
  <si>
    <t>28/01/26 11:19 AM</t>
  </si>
  <si>
    <t>+91 98810 44744</t>
  </si>
  <si>
    <t>VIJAY</t>
  </si>
  <si>
    <t>Gauri Gokhale</t>
  </si>
  <si>
    <t>Incoming Call - Rahatne, WhatsApp</t>
  </si>
  <si>
    <t>27/01/26 05:15 PM</t>
  </si>
  <si>
    <t>27/01/26 05:45 PM</t>
  </si>
  <si>
    <t>+91 96653 56555</t>
  </si>
  <si>
    <t>1.9 - 2 Cr</t>
  </si>
  <si>
    <t>27/01/26 12:00 AM</t>
  </si>
  <si>
    <t>Shobhit Bahel</t>
  </si>
  <si>
    <t>12/11/25 02:56 PM</t>
  </si>
  <si>
    <t>20/01/26 03:52 PM</t>
  </si>
  <si>
    <t>+91 91673 92835</t>
  </si>
  <si>
    <t>shobhitbahel@yahoo.co.uk</t>
  </si>
  <si>
    <t>4.5 BHK (1591 sq.ft)</t>
  </si>
  <si>
    <t>1.8 - 1.9 Cr</t>
  </si>
  <si>
    <t>Smita</t>
  </si>
  <si>
    <t>Legacy Kairos 4.5 BHK - 6/10, Legacy Kairos Pimple Saudagar Generic New</t>
  </si>
  <si>
    <t>Rohit Valecha</t>
  </si>
  <si>
    <t>02/01/26 06:27 PM</t>
  </si>
  <si>
    <t>09/01/26 12:22 PM</t>
  </si>
  <si>
    <t>+91 80700 78700</t>
  </si>
  <si>
    <t>Jay Ganeshwani</t>
  </si>
  <si>
    <t>20/01/26 01:53 PM</t>
  </si>
  <si>
    <t>27/01/26 06:55 PM</t>
  </si>
  <si>
    <t>+91 91687 72626</t>
  </si>
  <si>
    <t>jchoudhary146@gmail.com</t>
  </si>
  <si>
    <t>Titan Realty</t>
  </si>
  <si>
    <t>Pawan Jhangyani</t>
  </si>
  <si>
    <t>9503248581.00</t>
  </si>
  <si>
    <t>Above 2000</t>
  </si>
  <si>
    <t>3.1 - 3.2 Cr</t>
  </si>
  <si>
    <t>He has liked the flat will get his father for revisit</t>
  </si>
  <si>
    <t>Nilesh</t>
  </si>
  <si>
    <t>11/01/26 11:22 AM</t>
  </si>
  <si>
    <t>12/01/26 10:50 AM</t>
  </si>
  <si>
    <t>+1 888-854-6553</t>
  </si>
  <si>
    <t>+91 92841 88282</t>
  </si>
  <si>
    <t>+91 97647 71254</t>
  </si>
  <si>
    <t>Sachin Pawale</t>
  </si>
  <si>
    <t>Raj Warde</t>
  </si>
  <si>
    <t>27/01/26 06:51 PM</t>
  </si>
  <si>
    <t>+91 97631 88542</t>
  </si>
  <si>
    <t>MJ Realty</t>
  </si>
  <si>
    <t>Mangesh</t>
  </si>
  <si>
    <t>7887937010.00</t>
  </si>
  <si>
    <t>Shubham Birar</t>
  </si>
  <si>
    <t>10/01/26 02:52 PM</t>
  </si>
  <si>
    <t>11/01/26 12:54 PM</t>
  </si>
  <si>
    <t>+91 98503 45359</t>
  </si>
  <si>
    <t>birarshubham9@gmail.com</t>
  </si>
  <si>
    <t>Priya Shankare</t>
  </si>
  <si>
    <t>09/01/26 02:19 PM</t>
  </si>
  <si>
    <t>09/01/26 05:18 PM</t>
  </si>
  <si>
    <t>+91 94045 55993</t>
  </si>
  <si>
    <t>Neha Dutta</t>
  </si>
  <si>
    <t>09/01/26 12:38 PM</t>
  </si>
  <si>
    <t>23/01/26 05:50 PM</t>
  </si>
  <si>
    <t>+91 97664 64093</t>
  </si>
  <si>
    <t>Nilesh Atal</t>
  </si>
  <si>
    <t>04/01/26 12:59 PM</t>
  </si>
  <si>
    <t>08/01/26 01:18 PM</t>
  </si>
  <si>
    <t>+91 99700 93318</t>
  </si>
  <si>
    <t>Proprise</t>
  </si>
  <si>
    <t>Pranay</t>
  </si>
  <si>
    <t>9923901000.00</t>
  </si>
  <si>
    <t>04/01/26 12:00 AM</t>
  </si>
  <si>
    <t>pallavi rakesh bramhankar</t>
  </si>
  <si>
    <t>Digital
, WhatsApp</t>
  </si>
  <si>
    <t>30/12/25 09:58 PM</t>
  </si>
  <si>
    <t>08/01/26 01:12 PM</t>
  </si>
  <si>
    <t>+91 99700 13639</t>
  </si>
  <si>
    <t>brahmankar.rakesh@gmail.com</t>
  </si>
  <si>
    <t>Legacy Kairos Pimple Saudagar Generic New, The Satement Pimple Saudagar UP</t>
  </si>
  <si>
    <t>The Satement Pimple Saudagar UP</t>
  </si>
  <si>
    <t>Abhishek mehtre</t>
  </si>
  <si>
    <t>04/01/26 01:52 PM</t>
  </si>
  <si>
    <t>27/01/26 05:26 PM</t>
  </si>
  <si>
    <t>+91 98600 36082</t>
  </si>
  <si>
    <t>Dharmesh Rajpura</t>
  </si>
  <si>
    <t>09/01/26 02:05 PM</t>
  </si>
  <si>
    <t>24/01/26 05:29 PM</t>
  </si>
  <si>
    <t>+91 96040 16533</t>
  </si>
  <si>
    <t>ASHVERYA SHINDE</t>
  </si>
  <si>
    <t>31/12/25 02:28 PM</t>
  </si>
  <si>
    <t>09/01/26 12:01 PM</t>
  </si>
  <si>
    <t>+91 96570 14554</t>
  </si>
  <si>
    <t>Sarvadanya Realty</t>
  </si>
  <si>
    <t>Vinaya Jadhav</t>
  </si>
  <si>
    <t>9860110043.00</t>
  </si>
  <si>
    <t>1.4 - 1.5 Cr</t>
  </si>
  <si>
    <t>Ganesh Satras</t>
  </si>
  <si>
    <t>04/01/26 02:24 PM</t>
  </si>
  <si>
    <t>27/01/26 06:47 PM</t>
  </si>
  <si>
    <t>+91 91683 83180</t>
  </si>
  <si>
    <t>Six Wall Capital Advisor Pvt. Ltd.</t>
  </si>
  <si>
    <t>Tulshan</t>
  </si>
  <si>
    <t>9527501012.00</t>
  </si>
  <si>
    <t>05/01/26 12:00 AM</t>
  </si>
  <si>
    <t>Send details</t>
  </si>
  <si>
    <t>Alax jacob</t>
  </si>
  <si>
    <t>02/01/26 06:17 PM</t>
  </si>
  <si>
    <t>23/01/26 05:07 PM</t>
  </si>
  <si>
    <t>+91 89564 09079</t>
  </si>
  <si>
    <t>Legacy_kairos_form</t>
  </si>
  <si>
    <t>Omkar Kale</t>
  </si>
  <si>
    <t>09/01/26 02:11 PM</t>
  </si>
  <si>
    <t>+91 81492 53500</t>
  </si>
  <si>
    <t>Kaushal Kate</t>
  </si>
  <si>
    <t>09/01/26 01:06 PM</t>
  </si>
  <si>
    <t>24/01/26 05:27 PM</t>
  </si>
  <si>
    <t>+91 78753 57036</t>
  </si>
  <si>
    <t>1.3 - 1.4 Cr</t>
  </si>
  <si>
    <t>pramod badwaik</t>
  </si>
  <si>
    <t>27/01/26 06:27 PM</t>
  </si>
  <si>
    <t>+91 91750 63905</t>
  </si>
  <si>
    <t>kiran raut</t>
  </si>
  <si>
    <t>17/01/26 08:30 PM</t>
  </si>
  <si>
    <t>24/01/26 11:13 AM</t>
  </si>
  <si>
    <t>+91 82373 85602</t>
  </si>
  <si>
    <t>Booked In Legacy</t>
  </si>
  <si>
    <t>Ravi Bairagi</t>
  </si>
  <si>
    <t xml:space="preserve">Digital
</t>
  </si>
  <si>
    <t>14/12/25 02:15 PM</t>
  </si>
  <si>
    <t>15/01/26 12:19 PM</t>
  </si>
  <si>
    <t>+91 86000 55299</t>
  </si>
  <si>
    <t>bravindra.cs@gmail.com</t>
  </si>
  <si>
    <t>2.6 - 2.7 Cr</t>
  </si>
  <si>
    <t>Khushi Tamang</t>
  </si>
  <si>
    <t>NISHA PATEL</t>
  </si>
  <si>
    <t>03/01/26 03:56 PM</t>
  </si>
  <si>
    <t>24/01/26 11:52 AM</t>
  </si>
  <si>
    <t>+91 90332 17487</t>
  </si>
  <si>
    <t>Dattaprasad</t>
  </si>
  <si>
    <t>25/01/26 06:38 PM</t>
  </si>
  <si>
    <t>27/01/26 06:22 PM</t>
  </si>
  <si>
    <t>+91 98508 93276</t>
  </si>
  <si>
    <t>B Wing</t>
  </si>
  <si>
    <t>Mohit relwani</t>
  </si>
  <si>
    <t>24/01/26 02:31 PM</t>
  </si>
  <si>
    <t>+91 91683 58369</t>
  </si>
  <si>
    <t>Prathamesh Bhere</t>
  </si>
  <si>
    <t>09/01/26 12:35 PM</t>
  </si>
  <si>
    <t>23/01/26 05:49 PM</t>
  </si>
  <si>
    <t>+91 95527 11723</t>
  </si>
  <si>
    <t>vaibhav langote</t>
  </si>
  <si>
    <t>09/01/26 02:29 PM</t>
  </si>
  <si>
    <t>09/01/26 02:31 PM</t>
  </si>
  <si>
    <t>+91 95617 43633</t>
  </si>
  <si>
    <t>1300 - 1400</t>
  </si>
  <si>
    <t>2.1 - 2.2 Cr</t>
  </si>
  <si>
    <t>Interested will get back</t>
  </si>
  <si>
    <t>Priti Bharne</t>
  </si>
  <si>
    <t>25/01/26 06:53 PM</t>
  </si>
  <si>
    <t>25/01/26 06:56 PM</t>
  </si>
  <si>
    <t>+91 84838 19977</t>
  </si>
  <si>
    <t>Neocube Realty</t>
  </si>
  <si>
    <t>Prathamesh</t>
  </si>
  <si>
    <t>9881425287.00</t>
  </si>
  <si>
    <t>60 - 70 Lac</t>
  </si>
  <si>
    <t>A Wing</t>
  </si>
  <si>
    <t>Sneha Durge</t>
  </si>
  <si>
    <t>04/01/26 06:13 PM</t>
  </si>
  <si>
    <t>04/01/26 06:16 PM</t>
  </si>
  <si>
    <t>+91 90289 23444</t>
  </si>
  <si>
    <t>HP Realty</t>
  </si>
  <si>
    <t>Bhimashankar Jadhav - 8262914934</t>
  </si>
  <si>
    <t>Rajendrapal Singh Raizada</t>
  </si>
  <si>
    <t>04/01/26 07:15 PM</t>
  </si>
  <si>
    <t>06/01/26 11:07 AM</t>
  </si>
  <si>
    <t>+91 99237 43200</t>
  </si>
  <si>
    <t>Espirit Homes</t>
  </si>
  <si>
    <t>Vishal Kabugade - 7218676563</t>
  </si>
  <si>
    <t>2.9 - 3 Cr</t>
  </si>
  <si>
    <t>Tejas Choudhary</t>
  </si>
  <si>
    <t>25/01/26 11:04 AM</t>
  </si>
  <si>
    <t>25/01/26 11:05 AM</t>
  </si>
  <si>
    <t>+91 86005 42650</t>
  </si>
  <si>
    <t>Nidhi</t>
  </si>
  <si>
    <t>Booked</t>
  </si>
  <si>
    <t>Digital</t>
  </si>
  <si>
    <t>06/01/26 09:18 AM</t>
  </si>
  <si>
    <t>27/01/26 06:08 PM</t>
  </si>
  <si>
    <t>+91 97301 25616</t>
  </si>
  <si>
    <t>nidhikale@gmail.com</t>
  </si>
  <si>
    <t>2.4 - 2.5 Cr</t>
  </si>
  <si>
    <t>Manisha</t>
  </si>
  <si>
    <t>Nilesh Atal Shivam</t>
  </si>
  <si>
    <t>06/01/26 11:38 AM</t>
  </si>
  <si>
    <t>06/01/26 11:41 AM</t>
  </si>
  <si>
    <t>+91 99700 92318</t>
  </si>
  <si>
    <t>FDR LLP</t>
  </si>
  <si>
    <t>Pranay G- 9923901000</t>
  </si>
  <si>
    <t>Ram Gorthi</t>
  </si>
  <si>
    <t>20/01/26 05:40 PM</t>
  </si>
  <si>
    <t>27/01/26 03:34 PM</t>
  </si>
  <si>
    <t>+91 99701 76920</t>
  </si>
  <si>
    <t>ramg@gmail.com</t>
  </si>
  <si>
    <t>Client Name – Ram Gorthi
Unit type – 3BHK
Carpet - 1000+
Budget - 80 lakhs
Floor - above 15th 
Remarks - The client visited with his wife; they're looking for a 3BHK for self-use. Currently they're rented in Legacy Millenia, Punawale. They're from Hyderabad. They liked the sample flat and project. Their loan eligibility matches; it's their second. They have a flat in Vijayawada too. They said that they need some time to finalize inventory, asked me for 5 days of time, and said that they'll discuss and revert about the inventory selection.</t>
  </si>
  <si>
    <t>Pragati Shinde</t>
  </si>
  <si>
    <t>16/01/26 06:39 PM</t>
  </si>
  <si>
    <t>27/01/26 06:00 PM</t>
  </si>
  <si>
    <t>+91 78750 94769</t>
  </si>
  <si>
    <t>3 - 3.1 Cr</t>
  </si>
  <si>
    <t>Aundh</t>
  </si>
  <si>
    <t>Santosh Parihar</t>
  </si>
  <si>
    <t>22/01/26 05:01 PM</t>
  </si>
  <si>
    <t>25/01/26 06:16 PM</t>
  </si>
  <si>
    <t>+91 93260 38622</t>
  </si>
  <si>
    <t>22/01/26 12:00 AM</t>
  </si>
  <si>
    <t>Client Name – Santosh Parihar
Unit type – 2BHK
Carpet - na
Budget - 75 lakhs
Floor – Higher floor.
Remarks - The client visited with his spouse and entire family. They're rented in Punawale (SentosaPride), and they own a shop there and have some plots in Marunji. They're looking for two 2BHKs, as he stated; I've suggested options G-2307 &amp; G-2306. They said they like the project and flat. They'll revert in a few days about their decision.</t>
  </si>
  <si>
    <t>Anupam  Arora</t>
  </si>
  <si>
    <t>NEW REFEREL-WITH CRICKET IVITATION, Walk-In</t>
  </si>
  <si>
    <t>09/01/26 12:29 PM</t>
  </si>
  <si>
    <t>27/01/26 04:25 PM</t>
  </si>
  <si>
    <t>+91 98606 55536</t>
  </si>
  <si>
    <t>anupam.infa@gmail.com</t>
  </si>
  <si>
    <t>Gunjan Singhi</t>
  </si>
  <si>
    <t>Referral</t>
  </si>
  <si>
    <t>07/01/26 06:15 PM</t>
  </si>
  <si>
    <t>08/01/26 01:10 PM</t>
  </si>
  <si>
    <t>+91 95525 23931</t>
  </si>
  <si>
    <t>Romeo Rath</t>
  </si>
  <si>
    <t>7769971710.00</t>
  </si>
  <si>
    <t>07/01/26 12:00 AM</t>
  </si>
  <si>
    <t>Vikram Payemi</t>
  </si>
  <si>
    <t>24/01/26 06:53 PM</t>
  </si>
  <si>
    <t>27/01/26 03:43 PM</t>
  </si>
  <si>
    <t>+91 97643 33483</t>
  </si>
  <si>
    <t>The Skyline Properties</t>
  </si>
  <si>
    <t>Nachindra</t>
  </si>
  <si>
    <t>9172271095.00</t>
  </si>
  <si>
    <t>nitin  KOTHARi</t>
  </si>
  <si>
    <t>14/01/26 04:44 PM</t>
  </si>
  <si>
    <t>16/01/26 06:54 PM</t>
  </si>
  <si>
    <t>+91 98345 02146</t>
  </si>
  <si>
    <t>Wakad</t>
  </si>
  <si>
    <t>site visit done - come alone - said will revisit with wife</t>
  </si>
  <si>
    <t>Ganesh Pekam</t>
  </si>
  <si>
    <t>17/01/26 06:49 PM</t>
  </si>
  <si>
    <t>19/01/26 05:00 PM</t>
  </si>
  <si>
    <t>+91 79727 27370</t>
  </si>
  <si>
    <t>Vasuda Enterprises</t>
  </si>
  <si>
    <t>Akash</t>
  </si>
  <si>
    <t>Akash Jain</t>
  </si>
  <si>
    <t>04/01/26 01:56 PM</t>
  </si>
  <si>
    <t>27/01/26 01:22 PM</t>
  </si>
  <si>
    <t>+91 97422 67507</t>
  </si>
  <si>
    <t>Sachin Kadam</t>
  </si>
  <si>
    <t>10/01/26 01:37 PM</t>
  </si>
  <si>
    <t>12/01/26 04:46 PM</t>
  </si>
  <si>
    <t>+91 90280 80308</t>
  </si>
  <si>
    <t>Money Tree</t>
  </si>
  <si>
    <t>Rajesh Bharti</t>
  </si>
  <si>
    <t>9270775317.00</t>
  </si>
  <si>
    <t>Praful Yewle</t>
  </si>
  <si>
    <t>03/01/26 03:53 PM</t>
  </si>
  <si>
    <t>27/01/26 01:10 PM</t>
  </si>
  <si>
    <t>+91 97627 14262</t>
  </si>
  <si>
    <t>The Vintage Homes</t>
  </si>
  <si>
    <t>Rutvik</t>
  </si>
  <si>
    <t>8626066332.00</t>
  </si>
  <si>
    <t>DEEPAK KHANWALKAR</t>
  </si>
  <si>
    <t>10/01/26 05:35 PM</t>
  </si>
  <si>
    <t>16/01/26 06:21 PM</t>
  </si>
  <si>
    <t>+91 85300 29891</t>
  </si>
  <si>
    <t>DEEPAKKHANWAL@gmail.com</t>
  </si>
  <si>
    <t>Machindra Khandgaure</t>
  </si>
  <si>
    <t>25/01/26 06:22 PM</t>
  </si>
  <si>
    <t>25/01/26 06:26 PM</t>
  </si>
  <si>
    <t>+91 98228 25356</t>
  </si>
  <si>
    <t>Runway Realty</t>
  </si>
  <si>
    <t>Vishnu</t>
  </si>
  <si>
    <t>9604653444.00</t>
  </si>
  <si>
    <t>site visit done with one of friend</t>
  </si>
  <si>
    <t>Mr. Mohan Madan Barde</t>
  </si>
  <si>
    <t>Referral Customer</t>
  </si>
  <si>
    <t>21/01/26 01:26 PM</t>
  </si>
  <si>
    <t>+91 90967 65676</t>
  </si>
  <si>
    <t>mohan.barde734@gmail.com</t>
  </si>
  <si>
    <t>Sahil</t>
  </si>
  <si>
    <t>9604573467.00</t>
  </si>
  <si>
    <t>Aquamist</t>
  </si>
  <si>
    <t>site visit done with wife &amp; son (wife is homemaker - son studying in D.Y.Patil school)</t>
  </si>
  <si>
    <t>Rushikesh bedre</t>
  </si>
  <si>
    <t>26/01/26 03:58 PM</t>
  </si>
  <si>
    <t>26/01/26 06:36 PM</t>
  </si>
  <si>
    <t>+91 77439 68373</t>
  </si>
  <si>
    <t>Ashutosh mukhedkar</t>
  </si>
  <si>
    <t>26/01/26 05:09 PM</t>
  </si>
  <si>
    <t>26/01/26 06:35 PM</t>
  </si>
  <si>
    <t>+91 70282 19711</t>
  </si>
  <si>
    <t>Vipul Bhakhar</t>
  </si>
  <si>
    <t>26/01/26 05:37 PM</t>
  </si>
  <si>
    <t>26/01/26 06:23 PM</t>
  </si>
  <si>
    <t>+91 98244 59215</t>
  </si>
  <si>
    <t>site visit done with his kids (daughter &amp; son)</t>
  </si>
  <si>
    <t>Mukesh choudhary</t>
  </si>
  <si>
    <t>26/01/26 05:36 PM</t>
  </si>
  <si>
    <t>26/01/26 06:08 PM</t>
  </si>
  <si>
    <t>+91 83291 86095</t>
  </si>
  <si>
    <t>VAIBHAV SHINDE</t>
  </si>
  <si>
    <t>26/01/26 02:33 PM</t>
  </si>
  <si>
    <t>26/01/26 06:05 PM</t>
  </si>
  <si>
    <t>+91 96042 10749</t>
  </si>
  <si>
    <t>Kuntan Shivaji Sutar</t>
  </si>
  <si>
    <t>Rejected Data</t>
  </si>
  <si>
    <t>Channel Partner, Incoming Call - Rahatne, Success Story, Website</t>
  </si>
  <si>
    <t>31/03/25 02:00 PM</t>
  </si>
  <si>
    <t>26/01/26 06:04 PM</t>
  </si>
  <si>
    <t>+91 96195 88192</t>
  </si>
  <si>
    <t>sutarkuntan@gmail.com</t>
  </si>
  <si>
    <t>Other</t>
  </si>
  <si>
    <t>Website</t>
  </si>
  <si>
    <t>arunanshu</t>
  </si>
  <si>
    <t xml:space="preserve"> your dream home deserves a revisit, 15th August Offer, Channel Partners, Discover New Milestone, Diwali offer knocking your Dream, Dusshera offer milestone, Milestone Leading the League, PLACE  of Comfort &amp; Peace, Pune’s Skyline is Changing!, VISITED DATA, Visited Customer, families chose Milestone, referral</t>
  </si>
  <si>
    <t>27/06/25 05:36 PM</t>
  </si>
  <si>
    <t>26/01/26 06:00 PM</t>
  </si>
  <si>
    <t>+91 98230 75646</t>
  </si>
  <si>
    <t>arun@gmai.com</t>
  </si>
  <si>
    <t>+91 79782 26238</t>
  </si>
  <si>
    <t>YOJNA 7709700553</t>
  </si>
  <si>
    <t>AJ REALLITY</t>
  </si>
  <si>
    <t>rakesh sahu</t>
  </si>
  <si>
    <t>8340907286.00</t>
  </si>
  <si>
    <t>Bharati Kittur</t>
  </si>
  <si>
    <t>Mohit Manani</t>
  </si>
  <si>
    <t>26/01/26 05:42 PM</t>
  </si>
  <si>
    <t>26/01/26 05:48 PM</t>
  </si>
  <si>
    <t>+91 94223 77453</t>
  </si>
  <si>
    <t>Aspire properties</t>
  </si>
  <si>
    <t>Sanket Raut</t>
  </si>
  <si>
    <t>Datta Ningole</t>
  </si>
  <si>
    <t>26/01/26 05:25 PM</t>
  </si>
  <si>
    <t>+91 95795 80184</t>
  </si>
  <si>
    <t>Atul kale</t>
  </si>
  <si>
    <t>26/01/26 03:51 PM</t>
  </si>
  <si>
    <t>26/01/26 04:23 PM</t>
  </si>
  <si>
    <t>+91 98901 27297</t>
  </si>
  <si>
    <t>Nishant mahare</t>
  </si>
  <si>
    <t>26/01/26 04:04 PM</t>
  </si>
  <si>
    <t>26/01/26 04:21 PM</t>
  </si>
  <si>
    <t>+91 80553 56664</t>
  </si>
  <si>
    <t xml:space="preserve">vaibhav shinde </t>
  </si>
  <si>
    <t>26/01/26 03:15 PM</t>
  </si>
  <si>
    <t>26/01/26 04:18 PM</t>
  </si>
  <si>
    <t>+91 93735 34036</t>
  </si>
  <si>
    <t>Rajeev Agashe</t>
  </si>
  <si>
    <t>26/01/26 02:45 PM</t>
  </si>
  <si>
    <t>26/01/26 02:50 PM</t>
  </si>
  <si>
    <t>+91 99210 76996</t>
  </si>
  <si>
    <t>Kalash Realty</t>
  </si>
  <si>
    <t>Abhijeet</t>
  </si>
  <si>
    <t>9359614849.00</t>
  </si>
  <si>
    <t>SANJYOT BURHADE / RATNAPARKHI</t>
  </si>
  <si>
    <t>25/01/26 04:07 PM</t>
  </si>
  <si>
    <t>25/01/26 08:16 PM</t>
  </si>
  <si>
    <t>+91 86002 62251</t>
  </si>
  <si>
    <t>Husband-wife coming for site visit</t>
  </si>
  <si>
    <t>Paresh Bartakke</t>
  </si>
  <si>
    <t>10/12/25 06:54 AM</t>
  </si>
  <si>
    <t>06/01/26 12:06 PM</t>
  </si>
  <si>
    <t>+91 95791 77248</t>
  </si>
  <si>
    <t>paresh.bartakke@gmail.com</t>
  </si>
  <si>
    <t>Engage Era Facebook</t>
  </si>
  <si>
    <t>Chinchwad</t>
  </si>
  <si>
    <t>site visit done with wife</t>
  </si>
  <si>
    <t>White Properties Aqualife Ravet Generic</t>
  </si>
  <si>
    <t>Abhishek Dayana</t>
  </si>
  <si>
    <t>25/01/26 07:39 PM</t>
  </si>
  <si>
    <t>25/01/26 07:42 PM</t>
  </si>
  <si>
    <t>+91 82081 19223</t>
  </si>
  <si>
    <t>West Pune Realty</t>
  </si>
  <si>
    <t>Sanket Joshi</t>
  </si>
  <si>
    <t>9096454245.00</t>
  </si>
  <si>
    <t>Yogesh Patil</t>
  </si>
  <si>
    <t>Legacy Milestone 6, Website</t>
  </si>
  <si>
    <t>23/09/24 02:25 PM</t>
  </si>
  <si>
    <t>25/01/26 06:57 PM</t>
  </si>
  <si>
    <t>+91 77559 81591</t>
  </si>
  <si>
    <t>yogesh_bunty@hotmail.com</t>
  </si>
  <si>
    <t>Aqualife, Legacy Celestia</t>
  </si>
  <si>
    <t>site visit done with his mother</t>
  </si>
  <si>
    <t>Shashank Kulkarni</t>
  </si>
  <si>
    <t>25/01/26 06:41 PM</t>
  </si>
  <si>
    <t>+91 98225 76796</t>
  </si>
  <si>
    <t>+91 93261 62104</t>
  </si>
  <si>
    <t>Propmaster</t>
  </si>
  <si>
    <t>Ganesh jadhav</t>
  </si>
  <si>
    <t>Ashish Patil</t>
  </si>
  <si>
    <t>24/01/26 05:24 PM</t>
  </si>
  <si>
    <t>25/01/26 04:47 PM</t>
  </si>
  <si>
    <t>+91 84118 22027</t>
  </si>
  <si>
    <t>patilashish804@gmail.com</t>
  </si>
  <si>
    <t>Pinaka Facebook</t>
  </si>
  <si>
    <t>Legacy Milestone 2 &amp; 3 BHK</t>
  </si>
  <si>
    <t>Akash suhane</t>
  </si>
  <si>
    <t>18/01/26 01:10 PM</t>
  </si>
  <si>
    <t>18/01/26 06:28 PM</t>
  </si>
  <si>
    <t>+91 88397 86849</t>
  </si>
  <si>
    <t>Pallavi Sachin Deolekar</t>
  </si>
  <si>
    <t>23/01/26 06:38 PM</t>
  </si>
  <si>
    <t>+91 85309 82514</t>
  </si>
  <si>
    <t>Perfect Homeland Properties</t>
  </si>
  <si>
    <t>Vikram</t>
  </si>
  <si>
    <t>8369161937.00</t>
  </si>
  <si>
    <t>site visit done with wife - want to upgrade - want Vastu Complaint flat only</t>
  </si>
  <si>
    <t>anjali shinde</t>
  </si>
  <si>
    <t>21/01/26 06:40 PM</t>
  </si>
  <si>
    <t>25/01/26 05:45 PM</t>
  </si>
  <si>
    <t>+91 97671 12900</t>
  </si>
  <si>
    <t>anjushinde@gmail.com</t>
  </si>
  <si>
    <t>21/01/26 12:00 AM</t>
  </si>
  <si>
    <t>Pankaj Kshirsagar</t>
  </si>
  <si>
    <t>25/01/26 12:58 PM</t>
  </si>
  <si>
    <t>25/01/26 03:13 PM</t>
  </si>
  <si>
    <t>+91 86009 93125</t>
  </si>
  <si>
    <t>Satish Pawar</t>
  </si>
  <si>
    <t>25/01/26 12:56 PM</t>
  </si>
  <si>
    <t>25/01/26 12:57 PM</t>
  </si>
  <si>
    <t>+91 97644 06444</t>
  </si>
  <si>
    <t>Scan reality pvt ltd</t>
  </si>
  <si>
    <t>Rohit Dutonde</t>
  </si>
  <si>
    <t>Akshay Deshmukh</t>
  </si>
  <si>
    <t xml:space="preserve"> Legacy Kairos Visited Data Whats app 4,  The Statement, Don't compromise your space, Feel Kairos Again, Happy Holi, Holi Offer, Kairos Visited Data, LAST DAY APPORTUNITY-OWN IT, Legacy Kairos 5, Legacy Kairos Visited Data, Legacy Kairos Visited Data Whats app 3, Legacy Kairos Visited Data Whats app 3 B, Legacy Kairos Visited Data Whats app 4 A, Legacy Millenia 9, Sanctioned letter of The Statement, TIME TO  TAKE A DESCISION, The Statement , Visited Data, WhatsApp, Women's Day Exclusive  Offer </t>
  </si>
  <si>
    <t>22/01/26 05:50 PM</t>
  </si>
  <si>
    <t>+91 91758 80462</t>
  </si>
  <si>
    <t>akshayd914@gmail.com</t>
  </si>
  <si>
    <t>Prop-manthan</t>
  </si>
  <si>
    <t>7709227848.00</t>
  </si>
  <si>
    <t>site visit done (his 1 of relative who booked flat in legacy eden -tathawade, recommond him legacy aqualife) budget telling - 90L</t>
  </si>
  <si>
    <t>NANDKISHOR JOSHI</t>
  </si>
  <si>
    <t>Channel Partner, Don't compromise your space, Kairos Visited Data, Pune’s Skyline is Changing!, TIME TO  TAKE A DESCISION, Website</t>
  </si>
  <si>
    <t>21/05/25 11:59 PM</t>
  </si>
  <si>
    <t>25/01/26 12:55 PM</t>
  </si>
  <si>
    <t>+91 98229 34676</t>
  </si>
  <si>
    <t>joshi.nandakishor@gmail.com</t>
  </si>
  <si>
    <t>Proprise Property consultancy pvt ltd</t>
  </si>
  <si>
    <t>SAHANARA SHIKEH 7028138271</t>
  </si>
  <si>
    <t>Lagacy Kairos</t>
  </si>
  <si>
    <t>Khushal Khambayate</t>
  </si>
  <si>
    <t>24/01/26 07:18 PM</t>
  </si>
  <si>
    <t>24/01/26 07:21 PM</t>
  </si>
  <si>
    <t>+91 90221 11618</t>
  </si>
  <si>
    <t>Sangram Raut</t>
  </si>
  <si>
    <t>24/01/26 06:15 PM</t>
  </si>
  <si>
    <t>24/01/26 06:21 PM</t>
  </si>
  <si>
    <t>+91 95619 60311</t>
  </si>
  <si>
    <t>Propwave Consultant</t>
  </si>
  <si>
    <t>Govind</t>
  </si>
  <si>
    <t>919922445541.00</t>
  </si>
  <si>
    <t>Omprakash Singh</t>
  </si>
  <si>
    <t>24/01/26 05:30 PM</t>
  </si>
  <si>
    <t>24/01/26 05:32 PM</t>
  </si>
  <si>
    <t>+91 98206 99731</t>
  </si>
  <si>
    <t>Housemart</t>
  </si>
  <si>
    <t>Rajesh</t>
  </si>
  <si>
    <t>9156218530.00</t>
  </si>
  <si>
    <t>Vaibhav Gupta</t>
  </si>
  <si>
    <t>05/01/26 02:27 PM</t>
  </si>
  <si>
    <t>24/01/26 05:25 PM</t>
  </si>
  <si>
    <t>+91 91687 01167</t>
  </si>
  <si>
    <t>Propcrave Realtors</t>
  </si>
  <si>
    <t>Omkar</t>
  </si>
  <si>
    <t>9860201279.00</t>
  </si>
  <si>
    <t>VIVEK DAWANGE</t>
  </si>
  <si>
    <t>RRPL Data Not In Use</t>
  </si>
  <si>
    <t xml:space="preserve"> RRPL DATA, Channel Partner, Legacy Milestone 4, Success Story</t>
  </si>
  <si>
    <t>25/02/25 07:22 PM</t>
  </si>
  <si>
    <t>24/01/26 05:10 PM</t>
  </si>
  <si>
    <t>+91 77759 87962</t>
  </si>
  <si>
    <t>vivekdawange15@gmail.com</t>
  </si>
  <si>
    <t xml:space="preserve">priya mishra </t>
  </si>
  <si>
    <t>24/01/26 03:05 PM</t>
  </si>
  <si>
    <t>+91 70208 89653</t>
  </si>
  <si>
    <t>pranay gaikwad</t>
  </si>
  <si>
    <t>21/01/26 06:47 PM</t>
  </si>
  <si>
    <t>24/01/26 04:21 PM</t>
  </si>
  <si>
    <t>+91 91685 10180</t>
  </si>
  <si>
    <t>pranaygaikwad@gmail.com</t>
  </si>
  <si>
    <t>Tanaji Birajdar</t>
  </si>
  <si>
    <t>16/01/26 07:20 PM</t>
  </si>
  <si>
    <t>16/01/26 07:22 PM</t>
  </si>
  <si>
    <t>+91 98227 63751</t>
  </si>
  <si>
    <t>Pankaj Khare</t>
  </si>
  <si>
    <t>09/01/26 01:02 PM</t>
  </si>
  <si>
    <t>12/01/26 04:07 PM</t>
  </si>
  <si>
    <t>+91 99539 02033</t>
  </si>
  <si>
    <t>Proprise Property Consultant Pvt Ltd</t>
  </si>
  <si>
    <t>Mayuri</t>
  </si>
  <si>
    <t>7249422116.00</t>
  </si>
  <si>
    <t>09/01/26 12:00 AM</t>
  </si>
  <si>
    <t>site visit done with wife, friend and daughter</t>
  </si>
  <si>
    <t>Sandesh Tikande</t>
  </si>
  <si>
    <t>15/01/26 01:11 PM</t>
  </si>
  <si>
    <t>23/01/26 07:58 PM</t>
  </si>
  <si>
    <t>+91 73382 92333</t>
  </si>
  <si>
    <t>+91 90114 51491</t>
  </si>
  <si>
    <t>House Mart Properties</t>
  </si>
  <si>
    <t>site visit done - alone come for visit</t>
  </si>
  <si>
    <t>Divya Aashish Mehta</t>
  </si>
  <si>
    <t>17/01/26 12:03 PM</t>
  </si>
  <si>
    <t>19/01/26 05:48 PM</t>
  </si>
  <si>
    <t>+91 86104 72042</t>
  </si>
  <si>
    <t>Propworld</t>
  </si>
  <si>
    <t>Sachin</t>
  </si>
  <si>
    <t>8468892949.00</t>
  </si>
  <si>
    <t>Site visit done with wife and son -living in Pimpri</t>
  </si>
  <si>
    <t>Sumit Verma</t>
  </si>
  <si>
    <t>09/01/26 12:24 PM</t>
  </si>
  <si>
    <t>23/01/26 07:05 PM</t>
  </si>
  <si>
    <t>+91 91689 80009</t>
  </si>
  <si>
    <t>Vinayak Kulkarni</t>
  </si>
  <si>
    <t>04/01/26 01:38 PM</t>
  </si>
  <si>
    <t>23/01/26 07:01 PM</t>
  </si>
  <si>
    <t>+91 95030 43311</t>
  </si>
  <si>
    <t>Realty Master</t>
  </si>
  <si>
    <t>Deepak Uttekar</t>
  </si>
  <si>
    <t>9172761469.00</t>
  </si>
  <si>
    <t>1600 - 1700</t>
  </si>
  <si>
    <t>Pratik Vispute</t>
  </si>
  <si>
    <t>17/01/26 09:06 PM</t>
  </si>
  <si>
    <t>17/01/26 09:10 PM</t>
  </si>
  <si>
    <t>+91 96895 26526</t>
  </si>
  <si>
    <t>site visit done with wife, looking for 2-2.5bhk , ok for 1-2 yrs possession</t>
  </si>
  <si>
    <t>vaibhav birangan</t>
  </si>
  <si>
    <t>11/01/26 06:16 PM</t>
  </si>
  <si>
    <t>17/01/26 12:02 PM</t>
  </si>
  <si>
    <t>+91 90287 15573</t>
  </si>
  <si>
    <t>vaibhavbirangan@gmail.com</t>
  </si>
  <si>
    <t>wakad</t>
  </si>
  <si>
    <t>Harshdeep mane</t>
  </si>
  <si>
    <t>10/01/26 12:59 PM</t>
  </si>
  <si>
    <t>14/01/26 07:42 PM</t>
  </si>
  <si>
    <t>+91 70839 69792</t>
  </si>
  <si>
    <t>Akshay Padmawar</t>
  </si>
  <si>
    <t>17/01/26 05:50 PM</t>
  </si>
  <si>
    <t>19/01/26 11:35 AM</t>
  </si>
  <si>
    <t>+91 90283 80486</t>
  </si>
  <si>
    <t>Esprit Homes and Properties</t>
  </si>
  <si>
    <t>Rohan Patil</t>
  </si>
  <si>
    <t>7620211292.00</t>
  </si>
  <si>
    <t>Savita bhoite</t>
  </si>
  <si>
    <t>06/01/26 12:22 PM</t>
  </si>
  <si>
    <t>07/01/26 10:34 AM</t>
  </si>
  <si>
    <t>+91 84218 12095</t>
  </si>
  <si>
    <t>Vaibhav Pawar</t>
  </si>
  <si>
    <t>11/01/26 03:53 PM</t>
  </si>
  <si>
    <t>13/01/26 12:38 PM</t>
  </si>
  <si>
    <t>+91 77739 98382</t>
  </si>
  <si>
    <t>Sachin Sarak</t>
  </si>
  <si>
    <t>9923445755</t>
  </si>
  <si>
    <t>Devidas Nandarwar</t>
  </si>
  <si>
    <t>05/01/26 04:16 PM</t>
  </si>
  <si>
    <t>22/01/26 04:39 PM</t>
  </si>
  <si>
    <t>+91 98233 60552</t>
  </si>
  <si>
    <t>Mangesh Pande</t>
  </si>
  <si>
    <t>21/01/26 04:08 PM</t>
  </si>
  <si>
    <t>21/01/26 04:14 PM</t>
  </si>
  <si>
    <t>+91 99702 87288</t>
  </si>
  <si>
    <t>Propnest Ventures</t>
  </si>
  <si>
    <t>Sudarshan Darade</t>
  </si>
  <si>
    <t>7774891343.00</t>
  </si>
  <si>
    <t>Piyush Bhujbal</t>
  </si>
  <si>
    <t>17/01/26 03:12 PM</t>
  </si>
  <si>
    <t>20/01/26 05:25 PM</t>
  </si>
  <si>
    <t>+91 73509 20371</t>
  </si>
  <si>
    <t>Client Name - Piyush Bhujbal
Unit type - 2BHK 
Carpet - 750+
Budget - 70 lakhs
Floor - 15th floor
Remarks: The client visited with his friend. They rent in Wakad and work at Blue Ridge, Hinjewadi. He is looking for a 2BHK, preferably the 719 variant. I've shown all the best options available. He chose D-2301/G-2307 and said that he wants to finalize it (719) at 75 lakhs. He wants to visit once with family, and he'll revert about his decision in a few days.</t>
  </si>
  <si>
    <t>VASUDEV  BAKSHI</t>
  </si>
  <si>
    <t>Aqualife  sold but not out, Celebrate Your Home with Independence Offer, Channel Partner, Discover New Milestone, Dusshera offer Aqualife, PLACE  of Comfort &amp; Peace, Pune’s Skyline is Changing!, Step Closer to Home, Visit today, Own it, Visited Data</t>
  </si>
  <si>
    <t>25/06/25 04:01 PM</t>
  </si>
  <si>
    <t>23/01/26 12:33 PM</t>
  </si>
  <si>
    <t>+91 99226 20006</t>
  </si>
  <si>
    <t>vasudevbakshi@gmail.com</t>
  </si>
  <si>
    <t>Book my space realty</t>
  </si>
  <si>
    <t>Shyam Chothave</t>
  </si>
  <si>
    <t>1-1.1Cr</t>
  </si>
  <si>
    <t>Prashant Pawar</t>
  </si>
  <si>
    <t>09/01/26 06:11 PM</t>
  </si>
  <si>
    <t>09/01/26 06:15 PM</t>
  </si>
  <si>
    <t>+91 99212 39107</t>
  </si>
  <si>
    <t>Vishal Tambale</t>
  </si>
  <si>
    <t>Visited Data</t>
  </si>
  <si>
    <t>Channel Partner , Visited Data</t>
  </si>
  <si>
    <t>26/12/25 01:14 PM</t>
  </si>
  <si>
    <t>12/01/26 10:48 AM</t>
  </si>
  <si>
    <t>+91 99224 45768</t>
  </si>
  <si>
    <t>Empire Home</t>
  </si>
  <si>
    <t>Satyam</t>
  </si>
  <si>
    <t>7666502407.00</t>
  </si>
  <si>
    <t>Not Looking Property</t>
  </si>
  <si>
    <t>11/01/26 01:04 PM</t>
  </si>
  <si>
    <t>11/01/26 04:39 PM</t>
  </si>
  <si>
    <t>+91 77440 86941</t>
  </si>
  <si>
    <t>A406 Nakul Chaudhari Aqualife</t>
  </si>
  <si>
    <t>Parag Hawale</t>
  </si>
  <si>
    <t>16/01/26 03:46 PM</t>
  </si>
  <si>
    <t>16/01/26 03:59 PM</t>
  </si>
  <si>
    <t>+91 98672 59027</t>
  </si>
  <si>
    <t>Key Mansion</t>
  </si>
  <si>
    <t>Pravin 8484822739</t>
  </si>
  <si>
    <t>Harshawardhan Patil</t>
  </si>
  <si>
    <t>Aqualife  sold but not out, Aqualife- Meta Leads-ig, Digital, Discover New Milestone, Dusshera offer Aqualife, PLACE  of Comfort &amp; Peace, Pune’s Skyline is Changing!</t>
  </si>
  <si>
    <t>17/08/25 05:51 PM</t>
  </si>
  <si>
    <t>19/01/26 07:13 PM</t>
  </si>
  <si>
    <t>+91 82752 82771</t>
  </si>
  <si>
    <t>harshppatil.77@gmail.com</t>
  </si>
  <si>
    <t>Setu Digital Ads</t>
  </si>
  <si>
    <t>Aqualife, Legacy Milestone</t>
  </si>
  <si>
    <t>site visit done with his wife</t>
  </si>
  <si>
    <t>Acqualife - 25 June 2025, Legacy Aqualife 3 BHK</t>
  </si>
  <si>
    <t>Legacy - Aqualife - LeadGen -June 2025</t>
  </si>
  <si>
    <t>4 PM to 7 PM</t>
  </si>
  <si>
    <t>8275282771</t>
  </si>
  <si>
    <t>Sanjay Tomar</t>
  </si>
  <si>
    <t>17/01/26 05:08 PM</t>
  </si>
  <si>
    <t>18/01/26 05:34 PM</t>
  </si>
  <si>
    <t>+91 90499 28462</t>
  </si>
  <si>
    <t>Client Name - Sanjay Tomar
Unit type - 3BHK
Carpet - 1000+
Budget - 90 lakhs
Floor - above 15th 
Remarks—The client visited alone; he said he is looking for a 3BHK. He already owns two 2BHKs at Aishwaryam Insignia; he wishes to sell one of them and invest in our project. He said he likes the project; he'll show it to his spouse and afterwards would like to discuss the cost. He asked to connect with him tomorrow.</t>
  </si>
  <si>
    <t>Rushikesh Pandit</t>
  </si>
  <si>
    <t>11/01/26 12:44 PM</t>
  </si>
  <si>
    <t>11/01/26 07:38 PM</t>
  </si>
  <si>
    <t>+91 95957 76670</t>
  </si>
  <si>
    <t>No Broker</t>
  </si>
  <si>
    <t>Tejawi charankar</t>
  </si>
  <si>
    <t>8999807223.00</t>
  </si>
  <si>
    <t>Ganesh Todkar</t>
  </si>
  <si>
    <t>18/01/26 04:15 PM</t>
  </si>
  <si>
    <t>18/01/26 05:22 PM</t>
  </si>
  <si>
    <t>+91 96238 02799</t>
  </si>
  <si>
    <t>Sarvaswa Dream Home</t>
  </si>
  <si>
    <t>Suraj</t>
  </si>
  <si>
    <t>7385188428.00</t>
  </si>
  <si>
    <t>Site visit done with wife</t>
  </si>
  <si>
    <t>Sanjay Jadhav</t>
  </si>
  <si>
    <t>11/01/26 11:01 AM</t>
  </si>
  <si>
    <t>11/01/26 05:52 PM</t>
  </si>
  <si>
    <t>+91 95036 31423</t>
  </si>
  <si>
    <t>High vision associates</t>
  </si>
  <si>
    <t>Abhishek Kadam</t>
  </si>
  <si>
    <t>9322472131.00</t>
  </si>
  <si>
    <t>Prakash Choudhary</t>
  </si>
  <si>
    <t>20/01/26 07:16 PM</t>
  </si>
  <si>
    <t>22/01/26 06:38 PM</t>
  </si>
  <si>
    <t>+91 87935 86056</t>
  </si>
  <si>
    <t>Himanshu Shete</t>
  </si>
  <si>
    <t>17/01/26 01:52 PM</t>
  </si>
  <si>
    <t>20/01/26 05:11 PM</t>
  </si>
  <si>
    <t>+91 98346 26836</t>
  </si>
  <si>
    <t>Site visit done with wife father and daughter :living in Wagholi</t>
  </si>
  <si>
    <t>Manoj Bhat</t>
  </si>
  <si>
    <t>17/01/26 06:58 PM</t>
  </si>
  <si>
    <t>22/01/26 06:34 PM</t>
  </si>
  <si>
    <t>+91 98609 98476</t>
  </si>
  <si>
    <t>Property Vastu Realtors Pvt Ltd</t>
  </si>
  <si>
    <t>Amol Kamble</t>
  </si>
  <si>
    <t>8446512406.00</t>
  </si>
  <si>
    <t>Shirish Bankar</t>
  </si>
  <si>
    <t>Channel Partner , WhatsApp</t>
  </si>
  <si>
    <t>05/01/26 12:08 PM</t>
  </si>
  <si>
    <t>22/01/26 06:20 PM</t>
  </si>
  <si>
    <t>+91 99588 95695</t>
  </si>
  <si>
    <t>Dream Home Properties</t>
  </si>
  <si>
    <t>Shivaji : 7972711822</t>
  </si>
  <si>
    <t>(husband- wife) come for site visit</t>
  </si>
  <si>
    <t>Bhagyashree Ghonge</t>
  </si>
  <si>
    <t>18/01/26 03:20 PM</t>
  </si>
  <si>
    <t>22/01/26 06:06 PM</t>
  </si>
  <si>
    <t>+91 70384 30995</t>
  </si>
  <si>
    <t>Homesca Realtors</t>
  </si>
  <si>
    <t>Ashish</t>
  </si>
  <si>
    <t>8411801818.00</t>
  </si>
  <si>
    <t>site visit done with wife-daughter &amp; mother in law - father in law (coming  from Yavatmal)</t>
  </si>
  <si>
    <t>Sujay Budhar</t>
  </si>
  <si>
    <t>04/01/26 01:03 PM</t>
  </si>
  <si>
    <t>09/01/26 06:31 PM</t>
  </si>
  <si>
    <t>+91 99600 95034</t>
  </si>
  <si>
    <t>+91 94216 34616</t>
  </si>
  <si>
    <t>+91 77093 17271</t>
  </si>
  <si>
    <t>99 Realtors</t>
  </si>
  <si>
    <t>site visit done with all family - parents and wife</t>
  </si>
  <si>
    <t>9960095034 -Sujay Budhar
7709317271- Mrs. Budhar</t>
  </si>
  <si>
    <t>Sitaram Survase</t>
  </si>
  <si>
    <t>18/01/26 05:04 PM</t>
  </si>
  <si>
    <t>20/01/26 06:04 PM</t>
  </si>
  <si>
    <t>+91 97678 93503</t>
  </si>
  <si>
    <t>Asset Scout Pvt Ltd</t>
  </si>
  <si>
    <t>Riya Kadam</t>
  </si>
  <si>
    <t>9284035047.00</t>
  </si>
  <si>
    <t>raramesh bodke legacy office</t>
  </si>
  <si>
    <t>Swetal Pimpalshende</t>
  </si>
  <si>
    <t>12/01/26 12:08 PM</t>
  </si>
  <si>
    <t>12/01/26 07:32 PM</t>
  </si>
  <si>
    <t>+91 70581 83392</t>
  </si>
  <si>
    <t>Test Lead</t>
  </si>
  <si>
    <t>Amol Kambale</t>
  </si>
  <si>
    <t>04/01/26 03:48 PM</t>
  </si>
  <si>
    <t>10/01/26 05:26 PM</t>
  </si>
  <si>
    <t>+91 77749 31409</t>
  </si>
  <si>
    <t>Homesca</t>
  </si>
  <si>
    <t>Site visit done with wife
(living in chikhali)</t>
  </si>
  <si>
    <t>Sudarshan khapre</t>
  </si>
  <si>
    <t>11/01/26 03:16 PM</t>
  </si>
  <si>
    <t>+91 99702 86620</t>
  </si>
  <si>
    <t>Client Name - Sudarshan Kharpe 
Unit Type - 3BHK 
Carpet - 1000+_
Budget—up to 1 Cr.
Remarks—The client visited alone; he is looking for a 3BHK as an investment. He mentioned that he is shortlisting properties first and will later show them to his parents and spouse. He resides in Pimple Saudagar and owns an apartment in Rose Icon. I've explained to him the future connectivity, infrastructure development, and returns he might get. He said that he will first show it to his parents, who are in his hometown and might visit next week; they like the project and have a positive view.</t>
  </si>
  <si>
    <t>Sudha Soneji (Hitendra Soneji)</t>
  </si>
  <si>
    <t xml:space="preserve"> Legacy Kairos Visited Data Whats app 4,  The Statement, Don't compromise your space, Feel Kairos Again, Happy Holi, Holi Offer, Kairos Visited Data, LAST DAY APPORTUNITY-OWN IT, Legacy Kairos 4, Legacy Kairos 6, Legacy Kairos Visited Data, Legacy Kairos Visited Data Whats app 3, Legacy Kairos Visited Data Whats app 3 A, Legacy Kairos Visited Data Whats app 4 B, Legacy Millenia 9, Sanctioned letter of The Statement, TIME TO  TAKE A DESCISION, The Statement , Visited Data, WhatsApp, Women's Day Exclusive  Offer </t>
  </si>
  <si>
    <t>19/01/26 06:59 PM</t>
  </si>
  <si>
    <t>+91 99225 63630</t>
  </si>
  <si>
    <t>sudhasonegai123@gmail.com</t>
  </si>
  <si>
    <t>Supreme Realtech</t>
  </si>
  <si>
    <t>Amardeep : 7620350549</t>
  </si>
  <si>
    <t>Tejas Jabhade</t>
  </si>
  <si>
    <t>03/01/26 12:41 PM</t>
  </si>
  <si>
    <t>19/01/26 06:41 PM</t>
  </si>
  <si>
    <t>+91 86057 71225</t>
  </si>
  <si>
    <t>Sai Walke</t>
  </si>
  <si>
    <t>8793230067.00</t>
  </si>
  <si>
    <t>Test Lead New</t>
  </si>
  <si>
    <t>Ramesh Bodke</t>
  </si>
  <si>
    <t>Site Visit Form</t>
  </si>
  <si>
    <t>19/01/26 06:22 PM</t>
  </si>
  <si>
    <t>+91 89100 17234</t>
  </si>
  <si>
    <t>testleadnew@gmail.com</t>
  </si>
  <si>
    <t>Rahul CP Card</t>
  </si>
  <si>
    <t>918087866640.00</t>
  </si>
  <si>
    <t>Kiwale</t>
  </si>
  <si>
    <t>Test Data address</t>
  </si>
  <si>
    <t>19/01/26 12:00 AM</t>
  </si>
  <si>
    <t>Test</t>
  </si>
  <si>
    <t>Jayesh Bari</t>
  </si>
  <si>
    <t>11/01/26 06:33 PM</t>
  </si>
  <si>
    <t>19/01/26 05:42 PM</t>
  </si>
  <si>
    <t>+91 86683 31810</t>
  </si>
  <si>
    <t>jaybari832@gmail.com</t>
  </si>
  <si>
    <t>Download Brochure</t>
  </si>
  <si>
    <t>Asset Scout</t>
  </si>
  <si>
    <t>7249495151.00</t>
  </si>
  <si>
    <t>AquaLife</t>
  </si>
  <si>
    <t>Baner</t>
  </si>
  <si>
    <t>living in Pashan, 
site visit done</t>
  </si>
  <si>
    <t>pranav shukla</t>
  </si>
  <si>
    <t>11/01/26 04:10 PM</t>
  </si>
  <si>
    <t>19/01/26 11:08 AM</t>
  </si>
  <si>
    <t>+91 95275 11231</t>
  </si>
  <si>
    <t>Layout Not Like</t>
  </si>
  <si>
    <t>19/01/26 10:18 AM</t>
  </si>
  <si>
    <t>+91 88400 17245</t>
  </si>
  <si>
    <t>test@new.in</t>
  </si>
  <si>
    <t>360 Realtors LLP</t>
  </si>
  <si>
    <t>Test Name</t>
  </si>
  <si>
    <t>919834980151.00</t>
  </si>
  <si>
    <t>Pimpale Nilakh</t>
  </si>
  <si>
    <t>Mungardeeh, Mungra Badshahpur</t>
  </si>
  <si>
    <t>Homemaker</t>
  </si>
  <si>
    <t>Ashwin Abhyankar</t>
  </si>
  <si>
    <t>18/01/26 12:31 PM</t>
  </si>
  <si>
    <t>18/01/26 07:02 PM</t>
  </si>
  <si>
    <t>+91 90110 08113</t>
  </si>
  <si>
    <t>X Factor realty</t>
  </si>
  <si>
    <t>Diksha</t>
  </si>
  <si>
    <t>8767167890.00</t>
  </si>
  <si>
    <t>Site visit done with wife - living pradhikaran sector 28</t>
  </si>
  <si>
    <t>rajeshwari sonawane</t>
  </si>
  <si>
    <t>17/01/26 02:10 PM</t>
  </si>
  <si>
    <t>18/01/26 06:07 PM</t>
  </si>
  <si>
    <t>+91 88300 91285</t>
  </si>
  <si>
    <t>rajsona@gmail.com</t>
  </si>
  <si>
    <t>Vishal Patil</t>
  </si>
  <si>
    <t>18/01/26 01:02 PM</t>
  </si>
  <si>
    <t>18/01/26 03:28 PM</t>
  </si>
  <si>
    <t>+91 93041 19499</t>
  </si>
  <si>
    <t>Book My Space Realty</t>
  </si>
  <si>
    <t>Devyani Sadavarte</t>
  </si>
  <si>
    <t>Digital
, Visited Data</t>
  </si>
  <si>
    <t>01/12/25 07:24 PM</t>
  </si>
  <si>
    <t>18/01/26 02:35 PM</t>
  </si>
  <si>
    <t>+91 95037 08330</t>
  </si>
  <si>
    <t>devyanisadavarte115@gmail.com</t>
  </si>
  <si>
    <t>himanshu12@gmail.com</t>
  </si>
  <si>
    <t>White Properties Aqualife Ravet Focus</t>
  </si>
  <si>
    <t>kunal deshmukh</t>
  </si>
  <si>
    <t>17/01/26 03:32 PM</t>
  </si>
  <si>
    <t>17/01/26 07:10 PM</t>
  </si>
  <si>
    <t>+91 98754 55021</t>
  </si>
  <si>
    <t>Pankaj Yadav</t>
  </si>
  <si>
    <t>02/01/26 05:45 PM</t>
  </si>
  <si>
    <t>17/01/26 05:24 PM</t>
  </si>
  <si>
    <t>+91 95610 98523</t>
  </si>
  <si>
    <t>Amardeep</t>
  </si>
  <si>
    <t>7620350549.00</t>
  </si>
  <si>
    <t>Gaurav Bhavsar</t>
  </si>
  <si>
    <t>03/01/26 07:07 PM</t>
  </si>
  <si>
    <t>17/01/26 05:11 PM</t>
  </si>
  <si>
    <t>+91 94052 32698</t>
  </si>
  <si>
    <t>Nanasaheb Deshmukh</t>
  </si>
  <si>
    <t>13/01/26 12:14 PM</t>
  </si>
  <si>
    <t>14/01/26 06:32 PM</t>
  </si>
  <si>
    <t>+91 78729 34095</t>
  </si>
  <si>
    <t>+91 95525 79818</t>
  </si>
  <si>
    <t>A Plus Realty group</t>
  </si>
  <si>
    <t>Suyash</t>
  </si>
  <si>
    <t>8788296935.00</t>
  </si>
  <si>
    <t>13/01/26 12:00 AM</t>
  </si>
  <si>
    <t>PRASHANT BURMAN</t>
  </si>
  <si>
    <t xml:space="preserve"> RRPL Data, Legacy Milestone 3, Success Story, Your Home Is Waiting</t>
  </si>
  <si>
    <t>25/02/25 02:11 PM</t>
  </si>
  <si>
    <t>16/01/26 05:34 PM</t>
  </si>
  <si>
    <t>+91 99309 21024</t>
  </si>
  <si>
    <t>Pburman@gmail.com</t>
  </si>
  <si>
    <t>Kiran Patil</t>
  </si>
  <si>
    <t>04/01/26 05:50 PM</t>
  </si>
  <si>
    <t>16/01/26 05:24 PM</t>
  </si>
  <si>
    <t>+91 72765 63004</t>
  </si>
  <si>
    <t>Kingpins Reality Group</t>
  </si>
  <si>
    <t>Shubham</t>
  </si>
  <si>
    <t>8956933950.00</t>
  </si>
  <si>
    <t>RAHUL KUMAR</t>
  </si>
  <si>
    <t>Jai Mulik</t>
  </si>
  <si>
    <t>Channel Partner, Loyality, Site Visit Form, direct, loyality, newspaper, referral</t>
  </si>
  <si>
    <t>23/10/24 02:05 PM</t>
  </si>
  <si>
    <t>16/01/26 07:27 AM</t>
  </si>
  <si>
    <t>+91 88400 16234</t>
  </si>
  <si>
    <t>mail.rahulshakya@gmail.com</t>
  </si>
  <si>
    <t>mail89.rahulshakya@gmail.com</t>
  </si>
  <si>
    <t>Ruchita testing 30 july new 1</t>
  </si>
  <si>
    <t>917841078410.00</t>
  </si>
  <si>
    <t>Pune</t>
  </si>
  <si>
    <t>new</t>
  </si>
  <si>
    <t>Shubham Bhapkar</t>
  </si>
  <si>
    <t>11/01/26 05:59 PM</t>
  </si>
  <si>
    <t>16/01/26 12:16 PM</t>
  </si>
  <si>
    <t>+91 94265 40809</t>
  </si>
  <si>
    <t>Propt fantacy</t>
  </si>
  <si>
    <t>Tushar Lohar</t>
  </si>
  <si>
    <t>9156646812.00</t>
  </si>
  <si>
    <t>Site Visit Form, direct</t>
  </si>
  <si>
    <t>23/10/24 07:12 AM</t>
  </si>
  <si>
    <t>15/01/26 05:37 PM</t>
  </si>
  <si>
    <t>+91 88991 12222</t>
  </si>
  <si>
    <t>test@test.in</t>
  </si>
  <si>
    <t>Lane -2
Kanhaiya Vihar phase-2</t>
  </si>
  <si>
    <t>New test 1st visit</t>
  </si>
  <si>
    <t>New 2nd visit</t>
  </si>
  <si>
    <t>Student</t>
  </si>
  <si>
    <t>Legacy Kyros</t>
  </si>
  <si>
    <t>Kiran Ghogare</t>
  </si>
  <si>
    <t>10/01/26 04:05 PM</t>
  </si>
  <si>
    <t>13/01/26 06:57 PM</t>
  </si>
  <si>
    <t>+91 99220 34819</t>
  </si>
  <si>
    <t>ST Properties</t>
  </si>
  <si>
    <t>Gopal Jawanjal</t>
  </si>
  <si>
    <t>9922040747.00</t>
  </si>
  <si>
    <t>Hitesh Badgujar</t>
  </si>
  <si>
    <t>03/01/26 06:57 PM</t>
  </si>
  <si>
    <t>13/01/26 06:36 PM</t>
  </si>
  <si>
    <t>+91 86688 52944</t>
  </si>
  <si>
    <t>Swapnil Yadav</t>
  </si>
  <si>
    <t>11/01/26 01:36 PM</t>
  </si>
  <si>
    <t>11/01/26 08:13 PM</t>
  </si>
  <si>
    <t>+91 74249 43161</t>
  </si>
  <si>
    <t>Visiion Realtors</t>
  </si>
  <si>
    <t>Saurav</t>
  </si>
  <si>
    <t>9156455776.00</t>
  </si>
  <si>
    <t>test lead ml sv form</t>
  </si>
  <si>
    <t>12/01/26 12:33 PM</t>
  </si>
  <si>
    <t>12/01/26 07:33 PM</t>
  </si>
  <si>
    <t>+91 89558 11234</t>
  </si>
  <si>
    <t>Ashmita</t>
  </si>
  <si>
    <t>12/01/26 04:21 PM</t>
  </si>
  <si>
    <t>12/01/26 07:30 PM</t>
  </si>
  <si>
    <t>+91 82400 39683</t>
  </si>
  <si>
    <t>ashmitatest@gmail.com</t>
  </si>
  <si>
    <t>pimpari</t>
  </si>
  <si>
    <t>trfvbgr</t>
  </si>
  <si>
    <t>Shubham Pardesi</t>
  </si>
  <si>
    <t>radio</t>
  </si>
  <si>
    <t>12/01/26 07:22 PM</t>
  </si>
  <si>
    <t>+91 77820 29939</t>
  </si>
  <si>
    <t>vfd</t>
  </si>
  <si>
    <t>dscx</t>
  </si>
  <si>
    <t>exhibition</t>
  </si>
  <si>
    <t>12/01/26 07:25 PM</t>
  </si>
  <si>
    <t>+91 77820 29933</t>
  </si>
  <si>
    <t>Pankaj Zope (Vinayak Patil)</t>
  </si>
  <si>
    <t>Success Story, Website</t>
  </si>
  <si>
    <t>31/03/25 10:34 AM</t>
  </si>
  <si>
    <t>12/01/26 06:46 PM</t>
  </si>
  <si>
    <t>+91 99237 60022</t>
  </si>
  <si>
    <t>zopepankaj@gmail.com</t>
  </si>
  <si>
    <t>site visit done with his father in law Vinayak Patil....looking spacious 2-2.5bhk flat for his father in law-who want to shift from kiwale to ravet</t>
  </si>
  <si>
    <t>Satish Nikam</t>
  </si>
  <si>
    <t>11/01/26 11:43 AM</t>
  </si>
  <si>
    <t>+91 81497 28898</t>
  </si>
  <si>
    <t>Vinita Bhonde</t>
  </si>
  <si>
    <t>Nikhil Tolambe</t>
  </si>
  <si>
    <t>11/01/26 03:37 PM</t>
  </si>
  <si>
    <t>+91 77739 79979</t>
  </si>
  <si>
    <t>test</t>
  </si>
  <si>
    <t>CP, Digital, Direct Walkin, Visited Data</t>
  </si>
  <si>
    <t>12/01/26 05:46 PM</t>
  </si>
  <si>
    <t>+91 98765 43210</t>
  </si>
  <si>
    <t>+91 2345 678 909</t>
  </si>
  <si>
    <t>+91 77099 55650</t>
  </si>
  <si>
    <t>Test@gmail.com</t>
  </si>
  <si>
    <t>+91 98989 89867</t>
  </si>
  <si>
    <t>-</t>
  </si>
  <si>
    <t>The Statement, Legacy Milestone</t>
  </si>
  <si>
    <t>JAI MULIK</t>
  </si>
  <si>
    <t>Divya singh</t>
  </si>
  <si>
    <t>Incoming Call - Rahatne, hoarding</t>
  </si>
  <si>
    <t>10/01/26 05:22 PM</t>
  </si>
  <si>
    <t>+91 84488 61204</t>
  </si>
  <si>
    <t>Rajdenra Agawane</t>
  </si>
  <si>
    <t>11/01/26 11:48 AM</t>
  </si>
  <si>
    <t>11/01/26 11:54 AM</t>
  </si>
  <si>
    <t>+91 70303 02738</t>
  </si>
  <si>
    <t>Westbay properties</t>
  </si>
  <si>
    <t>Shivam</t>
  </si>
  <si>
    <t>Yogesh patil</t>
  </si>
  <si>
    <t>03/01/26 11:55 AM</t>
  </si>
  <si>
    <t>10/01/26 05:32 PM</t>
  </si>
  <si>
    <t>+91 96733 54869</t>
  </si>
  <si>
    <t>Kunal</t>
  </si>
  <si>
    <t>Shrikant Padalkar</t>
  </si>
  <si>
    <t>02/01/26 03:48 PM</t>
  </si>
  <si>
    <t>09/01/26 06:38 PM</t>
  </si>
  <si>
    <t>+91 76666 36742</t>
  </si>
  <si>
    <t>Wisdom realty</t>
  </si>
  <si>
    <t>Ajay</t>
  </si>
  <si>
    <t>Vastu</t>
  </si>
  <si>
    <t>Nilam Roshan Gurharikar</t>
  </si>
  <si>
    <t>03/01/26 05:51 PM</t>
  </si>
  <si>
    <t>09/01/26 04:14 PM</t>
  </si>
  <si>
    <t>+91 70834 96335</t>
  </si>
  <si>
    <t>Corazon Homes</t>
  </si>
  <si>
    <t>Dhananjay Sone</t>
  </si>
  <si>
    <t>9223001558.00</t>
  </si>
  <si>
    <t>Hinjewadi</t>
  </si>
  <si>
    <t>coming for site visit with his wife and one of his friend Anand Gadekar - both living in same society - looking 1-1.5 yr poss. 2bhk for self use -</t>
  </si>
  <si>
    <t>HT wire concern - cancel plan for aqualife</t>
  </si>
  <si>
    <t>Laxman Mane</t>
  </si>
  <si>
    <t>03/01/26 12:58 PM</t>
  </si>
  <si>
    <t>09/01/26 12:42 PM</t>
  </si>
  <si>
    <t>+91 98909 99585</t>
  </si>
  <si>
    <t>Pallavi Jadhav</t>
  </si>
  <si>
    <t>8087866356.00</t>
  </si>
  <si>
    <t>Krishna Singh</t>
  </si>
  <si>
    <t>03/01/26 07:36 PM</t>
  </si>
  <si>
    <t>09/01/26 12:06 PM</t>
  </si>
  <si>
    <t>+91 98212 73661</t>
  </si>
  <si>
    <t>site visit done with his father</t>
  </si>
  <si>
    <t>Amol Patil</t>
  </si>
  <si>
    <t>06/01/26 04:39 PM</t>
  </si>
  <si>
    <t>06/01/26 06:49 PM</t>
  </si>
  <si>
    <t>+91 83290 07909</t>
  </si>
  <si>
    <t>Luxary Living Realtors</t>
  </si>
  <si>
    <t>9049040106.00</t>
  </si>
</sst>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borderId="0" fillId="0" fontId="0" numFmtId="0"/>
  </cellStyleXfs>
  <cellXfs count="1">
    <xf borderId="0" fillId="0" fontId="0" numFmtId="0" pivotButton="0" quotePrefix="0" xfId="0"/>
  </cellXfs>
  <cellStyles count="1">
    <cellStyle builtinId="0" hidden="0" name="Normal" xfId="0"/>
  </cellStyles>
  <tableStyles count="0" defaultPivotStyle="PivotStyleLight16" defaultTableStyle="TableStyleMedium9"/>
</styleSheet>
</file>

<file path=xl/_rels/workbook.xml.rels><Relationships xmlns="http://schemas.openxmlformats.org/package/2006/relationships"><Relationship Id="rId1" Target="/xl/worksheets/sheet1.xml" Type="http://schemas.openxmlformats.org/officeDocument/2006/relationships/worksheet" /><Relationship Id="rId2" Target="sharedStrings.xml" Type="http://schemas.openxmlformats.org/officeDocument/2006/relationships/sharedStrings" /><Relationship Id="rId3" Target="styles.xml" Type="http://schemas.openxmlformats.org/officeDocument/2006/relationships/styles" /><Relationship Id="rId4" Target="theme/theme1.xml" Type="http://schemas.openxmlformats.org/officeDocument/2006/relationships/them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225"/>
  <sheetViews>
    <sheetView workbookViewId="0">
      <selection activeCell="A1" sqref="A1"/>
    </sheetView>
  </sheetViews>
  <sheetFormatPr baseColWidth="8" defaultRowHeight="15"/>
  <sheetData>
    <row r="1" spans="1:52">
      <c r="A1" t="s">
        <v>0</v>
      </c>
      <c r="B1" t="s">
        <v>1</v>
      </c>
      <c r="C1" t="s">
        <v>2</v>
      </c>
      <c r="D1" t="s">
        <v>3</v>
      </c>
      <c r="E1" t="s">
        <v>4</v>
      </c>
      <c r="F1" t="s">
        <v>5</v>
      </c>
      <c r="G1" t="s">
        <v>6</v>
      </c>
      <c r="H1" t="s">
        <v>7</v>
      </c>
      <c r="I1" t="s">
        <v>8</v>
      </c>
      <c r="J1" t="s">
        <v>9</v>
      </c>
      <c r="K1" t="s">
        <v>10</v>
      </c>
      <c r="L1" t="s">
        <v>9</v>
      </c>
      <c r="M1" t="s">
        <v>10</v>
      </c>
      <c r="N1" t="s">
        <v>9</v>
      </c>
      <c r="O1" t="s">
        <v>11</v>
      </c>
      <c r="P1" t="s">
        <v>9</v>
      </c>
      <c r="Q1" t="s">
        <v>12</v>
      </c>
      <c r="R1" t="s">
        <v>13</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c r="AZ1" t="s">
        <v>47</v>
      </c>
    </row>
    <row r="2" spans="1:52">
      <c r="A2">
        <f>HYPERLINK("https://edge.metroleads.com/companies/0c7e9033-589f-47bc-8bd1-ed16f4709436/leads#/lead/9bad9ae3-f803-4a48-98d6-0131c19920ec", "9bad9ae3-f803-4a48-98d6-0131c19920ec")</f>
        <v/>
      </c>
      <c r="B2" t="s">
        <v>48</v>
      </c>
      <c r="C2" t="s">
        <v>49</v>
      </c>
      <c r="D2" t="s">
        <v>50</v>
      </c>
      <c r="E2" t="s">
        <v>51</v>
      </c>
      <c r="F2" t="s">
        <v>52</v>
      </c>
      <c r="G2" t="s">
        <v>53</v>
      </c>
      <c r="H2" t="s">
        <v>54</v>
      </c>
      <c r="I2" t="s">
        <v>55</v>
      </c>
      <c r="J2" t="s">
        <v>56</v>
      </c>
      <c r="Y2" t="s">
        <v>57</v>
      </c>
      <c r="Z2" t="s">
        <v>58</v>
      </c>
      <c r="AC2" t="s">
        <v>59</v>
      </c>
      <c r="AD2" t="s">
        <v>60</v>
      </c>
      <c r="AG2" t="s">
        <v>61</v>
      </c>
      <c r="AT2" t="s">
        <v>62</v>
      </c>
      <c r="AU2" t="s">
        <v>63</v>
      </c>
    </row>
    <row r="3" spans="1:52">
      <c r="A3">
        <f>HYPERLINK("https://edge.metroleads.com/companies/0c7e9033-589f-47bc-8bd1-ed16f4709436/leads#/lead/ee148c62-1ebe-43b0-8ff6-288df9cc807f", "ee148c62-1ebe-43b0-8ff6-288df9cc807f")</f>
        <v/>
      </c>
      <c r="B3" t="s">
        <v>64</v>
      </c>
      <c r="C3" t="s">
        <v>65</v>
      </c>
      <c r="D3" t="s">
        <v>66</v>
      </c>
      <c r="E3" t="s">
        <v>51</v>
      </c>
      <c r="F3" t="s">
        <v>52</v>
      </c>
      <c r="G3" t="s">
        <v>67</v>
      </c>
      <c r="H3" t="s"/>
      <c r="I3" t="s"/>
      <c r="J3" t="s">
        <v>68</v>
      </c>
      <c r="Y3" t="s">
        <v>69</v>
      </c>
      <c r="Z3" t="s">
        <v>70</v>
      </c>
      <c r="AB3" t="s">
        <v>71</v>
      </c>
      <c r="AC3" t="s">
        <v>72</v>
      </c>
      <c r="AG3" t="s">
        <v>73</v>
      </c>
      <c r="AT3" t="s">
        <v>62</v>
      </c>
      <c r="AU3" t="s">
        <v>74</v>
      </c>
    </row>
    <row r="4" spans="1:52">
      <c r="A4">
        <f>HYPERLINK("https://edge.metroleads.com/companies/0c7e9033-589f-47bc-8bd1-ed16f4709436/leads#/lead/b4964a39-256b-488c-aee8-ad6cf8bdb750", "b4964a39-256b-488c-aee8-ad6cf8bdb750")</f>
        <v/>
      </c>
      <c r="B4" t="s">
        <v>75</v>
      </c>
      <c r="C4" t="s">
        <v>76</v>
      </c>
      <c r="D4" t="s">
        <v>77</v>
      </c>
      <c r="E4" t="s">
        <v>51</v>
      </c>
      <c r="F4" t="s">
        <v>78</v>
      </c>
      <c r="G4" t="s">
        <v>79</v>
      </c>
      <c r="H4" t="s">
        <v>34</v>
      </c>
      <c r="I4" t="s">
        <v>80</v>
      </c>
      <c r="J4" t="s">
        <v>81</v>
      </c>
      <c r="Q4" t="s">
        <v>82</v>
      </c>
      <c r="W4" t="s">
        <v>69</v>
      </c>
      <c r="X4" t="s">
        <v>69</v>
      </c>
      <c r="Y4" t="s">
        <v>69</v>
      </c>
      <c r="Z4" t="s">
        <v>83</v>
      </c>
      <c r="AA4" t="s">
        <v>84</v>
      </c>
      <c r="AB4" t="s">
        <v>71</v>
      </c>
      <c r="AC4" t="s">
        <v>85</v>
      </c>
      <c r="AD4" t="s">
        <v>86</v>
      </c>
      <c r="AE4" t="s">
        <v>87</v>
      </c>
      <c r="AG4" t="s">
        <v>88</v>
      </c>
      <c r="AH4" t="s">
        <v>66</v>
      </c>
      <c r="AI4" t="s">
        <v>54</v>
      </c>
      <c r="AM4" t="s">
        <v>89</v>
      </c>
    </row>
    <row r="5" spans="1:52">
      <c r="A5">
        <f>HYPERLINK("https://edge.metroleads.com/companies/0c7e9033-589f-47bc-8bd1-ed16f4709436/leads#/lead/99f0641b-0ffe-4d96-b3f1-97f706894398", "99f0641b-0ffe-4d96-b3f1-97f706894398")</f>
        <v/>
      </c>
      <c r="B5" t="s">
        <v>90</v>
      </c>
      <c r="C5" t="s">
        <v>65</v>
      </c>
      <c r="D5" t="s">
        <v>91</v>
      </c>
      <c r="E5" t="s">
        <v>51</v>
      </c>
      <c r="F5" t="s">
        <v>52</v>
      </c>
      <c r="G5" t="s">
        <v>92</v>
      </c>
      <c r="H5" t="s"/>
      <c r="I5" t="s"/>
      <c r="J5" t="s">
        <v>93</v>
      </c>
      <c r="Y5" t="s">
        <v>69</v>
      </c>
      <c r="Z5" t="s">
        <v>94</v>
      </c>
      <c r="AB5" t="s">
        <v>71</v>
      </c>
      <c r="AC5" t="s">
        <v>72</v>
      </c>
      <c r="AG5" t="s">
        <v>73</v>
      </c>
      <c r="AT5" t="s">
        <v>62</v>
      </c>
      <c r="AU5" t="s">
        <v>74</v>
      </c>
    </row>
    <row r="6" spans="1:52">
      <c r="A6">
        <f>HYPERLINK("https://edge.metroleads.com/companies/0c7e9033-589f-47bc-8bd1-ed16f4709436/leads#/lead/f6a893b9-773d-4944-abc9-14502eab7496", "f6a893b9-773d-4944-abc9-14502eab7496")</f>
        <v/>
      </c>
      <c r="B6" t="s">
        <v>95</v>
      </c>
      <c r="C6" t="s">
        <v>65</v>
      </c>
      <c r="D6" t="s">
        <v>91</v>
      </c>
      <c r="E6" t="s">
        <v>51</v>
      </c>
      <c r="F6" t="s">
        <v>52</v>
      </c>
      <c r="G6" t="s">
        <v>96</v>
      </c>
      <c r="H6" t="s"/>
      <c r="I6" t="s"/>
      <c r="J6" t="s">
        <v>97</v>
      </c>
      <c r="Y6" t="s">
        <v>69</v>
      </c>
      <c r="Z6" t="s">
        <v>94</v>
      </c>
      <c r="AB6" t="s">
        <v>71</v>
      </c>
      <c r="AC6" t="s">
        <v>72</v>
      </c>
      <c r="AG6" t="s">
        <v>73</v>
      </c>
      <c r="AT6" t="s">
        <v>62</v>
      </c>
      <c r="AU6" t="s">
        <v>74</v>
      </c>
    </row>
    <row r="7" spans="1:52">
      <c r="A7">
        <f>HYPERLINK("https://edge.metroleads.com/companies/0c7e9033-589f-47bc-8bd1-ed16f4709436/leads#/lead/874c2295-2505-4e42-8302-385220a8819a", "874c2295-2505-4e42-8302-385220a8819a")</f>
        <v/>
      </c>
      <c r="B7" t="s">
        <v>98</v>
      </c>
      <c r="C7" t="s">
        <v>65</v>
      </c>
      <c r="D7" t="s">
        <v>66</v>
      </c>
      <c r="E7" t="s">
        <v>51</v>
      </c>
      <c r="F7" t="s">
        <v>52</v>
      </c>
      <c r="G7" t="s">
        <v>99</v>
      </c>
      <c r="H7" t="s"/>
      <c r="I7" t="s"/>
      <c r="J7" t="s">
        <v>100</v>
      </c>
      <c r="Y7" t="s">
        <v>69</v>
      </c>
      <c r="Z7" t="s">
        <v>83</v>
      </c>
      <c r="AB7" t="s">
        <v>71</v>
      </c>
      <c r="AC7" t="s">
        <v>101</v>
      </c>
      <c r="AG7" t="s">
        <v>73</v>
      </c>
      <c r="AT7" t="s">
        <v>62</v>
      </c>
      <c r="AU7" t="s">
        <v>74</v>
      </c>
    </row>
    <row r="8" spans="1:52">
      <c r="A8">
        <f>HYPERLINK("https://edge.metroleads.com/companies/0c7e9033-589f-47bc-8bd1-ed16f4709436/leads#/lead/8a9fb2a7-39d9-4067-a0ee-3db55f5d53ea", "8a9fb2a7-39d9-4067-a0ee-3db55f5d53ea")</f>
        <v/>
      </c>
      <c r="B8" t="s">
        <v>102</v>
      </c>
      <c r="C8" t="s">
        <v>54</v>
      </c>
      <c r="D8" t="s">
        <v>77</v>
      </c>
      <c r="E8" t="s">
        <v>51</v>
      </c>
      <c r="F8" t="s">
        <v>103</v>
      </c>
      <c r="G8" t="s">
        <v>104</v>
      </c>
      <c r="H8" t="s">
        <v>34</v>
      </c>
      <c r="I8" t="s">
        <v>105</v>
      </c>
      <c r="J8" t="s">
        <v>106</v>
      </c>
      <c r="Q8" t="s">
        <v>82</v>
      </c>
      <c r="R8" t="s">
        <v>107</v>
      </c>
      <c r="S8" t="s">
        <v>108</v>
      </c>
      <c r="T8" t="s">
        <v>109</v>
      </c>
      <c r="W8" t="s">
        <v>69</v>
      </c>
      <c r="X8" t="s">
        <v>69</v>
      </c>
      <c r="Y8" t="s">
        <v>69</v>
      </c>
      <c r="Z8" t="s">
        <v>110</v>
      </c>
      <c r="AA8" t="s">
        <v>111</v>
      </c>
      <c r="AB8" t="s">
        <v>71</v>
      </c>
      <c r="AC8" t="s">
        <v>112</v>
      </c>
      <c r="AD8" t="s">
        <v>86</v>
      </c>
      <c r="AE8" t="s">
        <v>87</v>
      </c>
      <c r="AG8" t="s">
        <v>88</v>
      </c>
      <c r="AH8" t="s">
        <v>66</v>
      </c>
      <c r="AI8" t="s">
        <v>54</v>
      </c>
      <c r="AM8" t="s">
        <v>113</v>
      </c>
    </row>
    <row r="9" spans="1:52">
      <c r="A9">
        <f>HYPERLINK("https://edge.metroleads.com/companies/0c7e9033-589f-47bc-8bd1-ed16f4709436/leads#/lead/1e1d77cb-eb8a-4e61-bc53-43589017964f", "1e1d77cb-eb8a-4e61-bc53-43589017964f")</f>
        <v/>
      </c>
      <c r="B9" t="s">
        <v>114</v>
      </c>
      <c r="C9" t="s">
        <v>65</v>
      </c>
      <c r="D9" t="s">
        <v>91</v>
      </c>
      <c r="E9" t="s">
        <v>51</v>
      </c>
      <c r="F9" t="s">
        <v>52</v>
      </c>
      <c r="G9" t="s">
        <v>105</v>
      </c>
      <c r="H9" t="s"/>
      <c r="I9" t="s"/>
      <c r="J9" t="s">
        <v>115</v>
      </c>
      <c r="Y9" t="s">
        <v>69</v>
      </c>
      <c r="Z9" t="s">
        <v>94</v>
      </c>
      <c r="AB9" t="s">
        <v>71</v>
      </c>
      <c r="AC9" t="s">
        <v>72</v>
      </c>
      <c r="AG9" t="s">
        <v>73</v>
      </c>
      <c r="AT9" t="s">
        <v>62</v>
      </c>
      <c r="AU9" t="s">
        <v>74</v>
      </c>
    </row>
    <row r="10" spans="1:52">
      <c r="A10">
        <f>HYPERLINK("https://edge.metroleads.com/companies/0c7e9033-589f-47bc-8bd1-ed16f4709436/leads#/lead/2eeed20d-5614-41f1-863c-46749041c75c", "2eeed20d-5614-41f1-863c-46749041c75c")</f>
        <v/>
      </c>
      <c r="B10" t="s">
        <v>116</v>
      </c>
      <c r="C10" t="s">
        <v>65</v>
      </c>
      <c r="D10" t="s">
        <v>117</v>
      </c>
      <c r="E10" t="s">
        <v>51</v>
      </c>
      <c r="F10" t="s">
        <v>103</v>
      </c>
      <c r="G10" t="s">
        <v>118</v>
      </c>
      <c r="H10" t="s">
        <v>119</v>
      </c>
      <c r="I10" t="s">
        <v>120</v>
      </c>
      <c r="J10" t="s">
        <v>121</v>
      </c>
      <c r="R10" t="s">
        <v>122</v>
      </c>
      <c r="S10" t="s">
        <v>123</v>
      </c>
      <c r="W10" t="s">
        <v>124</v>
      </c>
      <c r="X10" t="s">
        <v>124</v>
      </c>
      <c r="Y10" t="s">
        <v>124</v>
      </c>
      <c r="Z10" t="s">
        <v>83</v>
      </c>
      <c r="AA10" t="s">
        <v>125</v>
      </c>
      <c r="AB10" t="s">
        <v>71</v>
      </c>
      <c r="AC10" t="s">
        <v>126</v>
      </c>
      <c r="AD10" t="s">
        <v>127</v>
      </c>
      <c r="AE10" t="s">
        <v>87</v>
      </c>
      <c r="AG10" t="s">
        <v>128</v>
      </c>
      <c r="AJ10" t="s">
        <v>129</v>
      </c>
    </row>
    <row r="11" spans="1:52">
      <c r="A11">
        <f>HYPERLINK("https://edge.metroleads.com/companies/0c7e9033-589f-47bc-8bd1-ed16f4709436/leads#/lead/36cc2fc9-9ae5-40d0-8c32-55a31d3cfd14", "36cc2fc9-9ae5-40d0-8c32-55a31d3cfd14")</f>
        <v/>
      </c>
      <c r="B11" t="s">
        <v>130</v>
      </c>
      <c r="C11" t="s">
        <v>54</v>
      </c>
      <c r="D11" t="s">
        <v>77</v>
      </c>
      <c r="E11" t="s">
        <v>51</v>
      </c>
      <c r="F11" t="s">
        <v>131</v>
      </c>
      <c r="G11" t="s">
        <v>132</v>
      </c>
      <c r="H11" t="s">
        <v>34</v>
      </c>
      <c r="I11" t="s">
        <v>133</v>
      </c>
      <c r="J11" t="s">
        <v>134</v>
      </c>
      <c r="K11" t="s">
        <v>135</v>
      </c>
      <c r="Q11" t="s">
        <v>82</v>
      </c>
      <c r="W11" t="s">
        <v>136</v>
      </c>
      <c r="X11" t="s">
        <v>69</v>
      </c>
      <c r="Z11" t="s">
        <v>110</v>
      </c>
      <c r="AA11" t="s">
        <v>111</v>
      </c>
      <c r="AB11" t="s">
        <v>71</v>
      </c>
      <c r="AC11" t="s">
        <v>137</v>
      </c>
      <c r="AD11" t="s">
        <v>86</v>
      </c>
      <c r="AE11" t="s">
        <v>87</v>
      </c>
      <c r="AG11" t="s">
        <v>138</v>
      </c>
      <c r="AH11" t="s">
        <v>66</v>
      </c>
      <c r="AM11" t="s">
        <v>139</v>
      </c>
      <c r="AO11" t="s">
        <v>140</v>
      </c>
      <c r="AQ11" t="s">
        <v>141</v>
      </c>
    </row>
    <row r="12" spans="1:52">
      <c r="A12">
        <f>HYPERLINK("https://edge.metroleads.com/companies/0c7e9033-589f-47bc-8bd1-ed16f4709436/leads#/lead/84d58c88-4e3d-4e5b-9c2c-4428c49e21d9", "84d58c88-4e3d-4e5b-9c2c-4428c49e21d9")</f>
        <v/>
      </c>
      <c r="B12" t="s">
        <v>142</v>
      </c>
      <c r="C12" t="s">
        <v>65</v>
      </c>
      <c r="D12" t="s">
        <v>66</v>
      </c>
      <c r="E12" t="s">
        <v>51</v>
      </c>
      <c r="F12" t="s">
        <v>52</v>
      </c>
      <c r="G12" t="s">
        <v>133</v>
      </c>
      <c r="H12" t="s"/>
      <c r="I12" t="s"/>
      <c r="J12" t="s">
        <v>143</v>
      </c>
      <c r="Y12" t="s">
        <v>69</v>
      </c>
      <c r="Z12" t="s">
        <v>83</v>
      </c>
      <c r="AB12" t="s">
        <v>71</v>
      </c>
      <c r="AC12" t="s">
        <v>101</v>
      </c>
      <c r="AG12" t="s">
        <v>73</v>
      </c>
      <c r="AT12" t="s">
        <v>62</v>
      </c>
      <c r="AU12" t="s">
        <v>74</v>
      </c>
    </row>
    <row r="13" spans="1:52">
      <c r="A13">
        <f>HYPERLINK("https://edge.metroleads.com/companies/0c7e9033-589f-47bc-8bd1-ed16f4709436/leads#/lead/4a76874e-3267-4b86-8457-6fa0e4bf516f", "4a76874e-3267-4b86-8457-6fa0e4bf516f")</f>
        <v/>
      </c>
      <c r="B13" t="s">
        <v>144</v>
      </c>
      <c r="C13" t="s">
        <v>34</v>
      </c>
      <c r="D13" t="s">
        <v>77</v>
      </c>
      <c r="E13" t="s">
        <v>51</v>
      </c>
      <c r="F13" t="s">
        <v>145</v>
      </c>
      <c r="G13" t="s">
        <v>146</v>
      </c>
      <c r="H13" t="s">
        <v>54</v>
      </c>
      <c r="I13" t="s">
        <v>147</v>
      </c>
      <c r="J13" t="s">
        <v>148</v>
      </c>
      <c r="Q13" t="s">
        <v>82</v>
      </c>
      <c r="Y13" t="s">
        <v>69</v>
      </c>
      <c r="Z13" t="s">
        <v>83</v>
      </c>
      <c r="AB13" t="s">
        <v>71</v>
      </c>
      <c r="AC13" t="s">
        <v>149</v>
      </c>
      <c r="AF13" t="s">
        <v>86</v>
      </c>
      <c r="AG13" t="s">
        <v>150</v>
      </c>
      <c r="AM13" t="s">
        <v>151</v>
      </c>
      <c r="AT13" t="s">
        <v>62</v>
      </c>
      <c r="AU13" t="s">
        <v>74</v>
      </c>
    </row>
    <row r="14" spans="1:52">
      <c r="A14">
        <f>HYPERLINK("https://edge.metroleads.com/companies/0c7e9033-589f-47bc-8bd1-ed16f4709436/leads#/lead/55f940dd-e502-429e-bd6a-2421d311b606", "55f940dd-e502-429e-bd6a-2421d311b606")</f>
        <v/>
      </c>
      <c r="B14" t="s">
        <v>152</v>
      </c>
      <c r="C14" t="s">
        <v>54</v>
      </c>
      <c r="D14" t="s">
        <v>77</v>
      </c>
      <c r="E14" t="s">
        <v>51</v>
      </c>
      <c r="F14" t="s">
        <v>78</v>
      </c>
      <c r="G14" t="s">
        <v>153</v>
      </c>
      <c r="H14" t="s">
        <v>34</v>
      </c>
      <c r="I14" t="s">
        <v>154</v>
      </c>
      <c r="J14" t="s">
        <v>155</v>
      </c>
      <c r="K14" t="s">
        <v>156</v>
      </c>
      <c r="L14" t="s">
        <v>157</v>
      </c>
      <c r="Q14" t="s">
        <v>82</v>
      </c>
      <c r="Y14" t="s">
        <v>69</v>
      </c>
      <c r="Z14" t="s">
        <v>94</v>
      </c>
      <c r="AC14" t="s">
        <v>149</v>
      </c>
      <c r="AF14" t="s">
        <v>158</v>
      </c>
      <c r="AG14" t="s">
        <v>159</v>
      </c>
      <c r="AM14" t="s">
        <v>139</v>
      </c>
      <c r="AT14" t="s">
        <v>62</v>
      </c>
      <c r="AU14" t="s">
        <v>74</v>
      </c>
    </row>
    <row r="15" spans="1:52">
      <c r="A15">
        <f>HYPERLINK("https://edge.metroleads.com/companies/0c7e9033-589f-47bc-8bd1-ed16f4709436/leads#/lead/aeba0a83-0667-4a6e-bd06-e1dafdd82c61", "aeba0a83-0667-4a6e-bd06-e1dafdd82c61")</f>
        <v/>
      </c>
      <c r="B15" t="s">
        <v>160</v>
      </c>
      <c r="C15" t="s">
        <v>65</v>
      </c>
      <c r="D15" t="s">
        <v>91</v>
      </c>
      <c r="E15" t="s">
        <v>51</v>
      </c>
      <c r="F15" t="s">
        <v>161</v>
      </c>
      <c r="G15" t="s">
        <v>162</v>
      </c>
      <c r="H15" t="s"/>
      <c r="I15" t="s"/>
      <c r="J15" t="s">
        <v>163</v>
      </c>
      <c r="Y15" t="s">
        <v>69</v>
      </c>
      <c r="Z15" t="s">
        <v>83</v>
      </c>
      <c r="AB15" t="s">
        <v>71</v>
      </c>
      <c r="AC15" t="s">
        <v>164</v>
      </c>
      <c r="AG15" t="s">
        <v>73</v>
      </c>
      <c r="AT15" t="s">
        <v>62</v>
      </c>
      <c r="AU15" t="s">
        <v>74</v>
      </c>
    </row>
    <row r="16" spans="1:52">
      <c r="A16">
        <f>HYPERLINK("https://edge.metroleads.com/companies/0c7e9033-589f-47bc-8bd1-ed16f4709436/leads#/lead/4a7f6c85-a290-425c-baa1-bedb3be3a561", "4a7f6c85-a290-425c-baa1-bedb3be3a561")</f>
        <v/>
      </c>
      <c r="B16" t="s">
        <v>165</v>
      </c>
      <c r="C16" t="s">
        <v>65</v>
      </c>
      <c r="D16" t="s">
        <v>91</v>
      </c>
      <c r="E16" t="s">
        <v>51</v>
      </c>
      <c r="F16" t="s">
        <v>161</v>
      </c>
      <c r="G16" t="s">
        <v>166</v>
      </c>
      <c r="H16" t="s"/>
      <c r="I16" t="s"/>
      <c r="J16" t="s">
        <v>167</v>
      </c>
      <c r="Y16" t="s">
        <v>69</v>
      </c>
      <c r="Z16" t="s">
        <v>70</v>
      </c>
      <c r="AB16" t="s">
        <v>71</v>
      </c>
      <c r="AC16" t="s">
        <v>164</v>
      </c>
      <c r="AG16" t="s">
        <v>73</v>
      </c>
      <c r="AT16" t="s">
        <v>62</v>
      </c>
      <c r="AU16" t="s">
        <v>74</v>
      </c>
    </row>
    <row r="17" spans="1:52">
      <c r="A17">
        <f>HYPERLINK("https://edge.metroleads.com/companies/0c7e9033-589f-47bc-8bd1-ed16f4709436/leads#/lead/51508e1d-0d25-4b3e-80b7-75a1f5c6506a", "51508e1d-0d25-4b3e-80b7-75a1f5c6506a")</f>
        <v/>
      </c>
      <c r="B17" t="s">
        <v>168</v>
      </c>
      <c r="C17" t="s">
        <v>65</v>
      </c>
      <c r="D17" t="s">
        <v>66</v>
      </c>
      <c r="E17" t="s">
        <v>51</v>
      </c>
      <c r="F17" t="s">
        <v>161</v>
      </c>
      <c r="G17" t="s">
        <v>169</v>
      </c>
      <c r="H17" t="s"/>
      <c r="I17" t="s"/>
      <c r="J17" t="s">
        <v>170</v>
      </c>
      <c r="Y17" t="s">
        <v>69</v>
      </c>
      <c r="Z17" t="s">
        <v>58</v>
      </c>
      <c r="AB17" t="s">
        <v>71</v>
      </c>
      <c r="AC17" t="s">
        <v>171</v>
      </c>
      <c r="AG17" t="s">
        <v>73</v>
      </c>
      <c r="AT17" t="s">
        <v>62</v>
      </c>
      <c r="AU17" t="s">
        <v>74</v>
      </c>
    </row>
    <row r="18" spans="1:52">
      <c r="A18">
        <f>HYPERLINK("https://edge.metroleads.com/companies/0c7e9033-589f-47bc-8bd1-ed16f4709436/leads#/lead/aff0f5b9-f72e-4ee6-ab73-fc87fff4ced8", "aff0f5b9-f72e-4ee6-ab73-fc87fff4ced8")</f>
        <v/>
      </c>
      <c r="B18" t="s">
        <v>172</v>
      </c>
      <c r="C18" t="s">
        <v>65</v>
      </c>
      <c r="D18" t="s">
        <v>91</v>
      </c>
      <c r="E18" t="s">
        <v>51</v>
      </c>
      <c r="F18" t="s">
        <v>161</v>
      </c>
      <c r="G18" t="s">
        <v>173</v>
      </c>
      <c r="H18" t="s"/>
      <c r="I18" t="s"/>
      <c r="J18" t="s">
        <v>174</v>
      </c>
      <c r="Y18" t="s">
        <v>69</v>
      </c>
      <c r="Z18" t="s">
        <v>83</v>
      </c>
      <c r="AB18" t="s">
        <v>71</v>
      </c>
      <c r="AC18" t="s">
        <v>149</v>
      </c>
      <c r="AG18" t="s">
        <v>73</v>
      </c>
      <c r="AT18" t="s">
        <v>62</v>
      </c>
      <c r="AU18" t="s">
        <v>74</v>
      </c>
    </row>
    <row r="19" spans="1:52">
      <c r="A19">
        <f>HYPERLINK("https://edge.metroleads.com/companies/0c7e9033-589f-47bc-8bd1-ed16f4709436/leads#/lead/df33043e-ffaf-4331-9598-468b836aad93", "df33043e-ffaf-4331-9598-468b836aad93")</f>
        <v/>
      </c>
      <c r="B19" t="s">
        <v>175</v>
      </c>
      <c r="C19" t="s">
        <v>65</v>
      </c>
      <c r="D19" t="s">
        <v>66</v>
      </c>
      <c r="E19" t="s">
        <v>51</v>
      </c>
      <c r="F19" t="s">
        <v>161</v>
      </c>
      <c r="G19" t="s">
        <v>176</v>
      </c>
      <c r="H19" t="s"/>
      <c r="I19" t="s"/>
      <c r="J19" t="s">
        <v>177</v>
      </c>
      <c r="Y19" t="s">
        <v>69</v>
      </c>
      <c r="Z19" t="s">
        <v>83</v>
      </c>
      <c r="AB19" t="s">
        <v>71</v>
      </c>
      <c r="AC19" t="s">
        <v>101</v>
      </c>
      <c r="AG19" t="s">
        <v>73</v>
      </c>
      <c r="AT19" t="s">
        <v>62</v>
      </c>
      <c r="AU19" t="s">
        <v>74</v>
      </c>
    </row>
    <row r="20" spans="1:52">
      <c r="A20">
        <f>HYPERLINK("https://edge.metroleads.com/companies/0c7e9033-589f-47bc-8bd1-ed16f4709436/leads#/lead/732ba8d9-4463-4c28-a29f-044c17506b4f", "732ba8d9-4463-4c28-a29f-044c17506b4f")</f>
        <v/>
      </c>
      <c r="B20" t="s">
        <v>178</v>
      </c>
      <c r="C20" t="s">
        <v>65</v>
      </c>
      <c r="D20" t="s">
        <v>66</v>
      </c>
      <c r="E20" t="s">
        <v>51</v>
      </c>
      <c r="F20" t="s">
        <v>161</v>
      </c>
      <c r="G20" t="s">
        <v>179</v>
      </c>
      <c r="H20" t="s"/>
      <c r="I20" t="s"/>
      <c r="J20" t="s">
        <v>180</v>
      </c>
      <c r="Y20" t="s">
        <v>69</v>
      </c>
      <c r="Z20" t="s">
        <v>94</v>
      </c>
      <c r="AB20" t="s">
        <v>71</v>
      </c>
      <c r="AC20" t="s">
        <v>72</v>
      </c>
      <c r="AG20" t="s">
        <v>73</v>
      </c>
      <c r="AT20" t="s">
        <v>62</v>
      </c>
      <c r="AU20" t="s">
        <v>74</v>
      </c>
    </row>
    <row r="21" spans="1:52">
      <c r="A21">
        <f>HYPERLINK("https://edge.metroleads.com/companies/0c7e9033-589f-47bc-8bd1-ed16f4709436/leads#/lead/59b9e553-4d44-4d04-a017-c5ba09149270", "59b9e553-4d44-4d04-a017-c5ba09149270")</f>
        <v/>
      </c>
      <c r="B21" t="s">
        <v>181</v>
      </c>
      <c r="C21" t="s">
        <v>54</v>
      </c>
      <c r="D21" t="s">
        <v>77</v>
      </c>
      <c r="E21" t="s">
        <v>51</v>
      </c>
      <c r="F21" t="s"/>
      <c r="G21" t="s">
        <v>182</v>
      </c>
      <c r="H21" t="s">
        <v>119</v>
      </c>
      <c r="I21" t="s">
        <v>183</v>
      </c>
      <c r="J21" t="s">
        <v>184</v>
      </c>
      <c r="Q21" t="s">
        <v>82</v>
      </c>
      <c r="W21" t="s">
        <v>69</v>
      </c>
      <c r="X21" t="s">
        <v>69</v>
      </c>
      <c r="Y21" t="s">
        <v>69</v>
      </c>
      <c r="Z21" t="s">
        <v>58</v>
      </c>
      <c r="AB21" t="s">
        <v>71</v>
      </c>
      <c r="AC21" t="s">
        <v>185</v>
      </c>
      <c r="AD21" t="s">
        <v>86</v>
      </c>
      <c r="AG21" t="s">
        <v>159</v>
      </c>
      <c r="AH21" t="s">
        <v>66</v>
      </c>
      <c r="AM21" t="s">
        <v>151</v>
      </c>
    </row>
    <row r="22" spans="1:52">
      <c r="A22">
        <f>HYPERLINK("https://edge.metroleads.com/companies/0c7e9033-589f-47bc-8bd1-ed16f4709436/leads#/lead/65d25d67-e16d-4f47-a51d-28422a812eef", "65d25d67-e16d-4f47-a51d-28422a812eef")</f>
        <v/>
      </c>
      <c r="B22" t="s">
        <v>186</v>
      </c>
      <c r="C22" t="s">
        <v>34</v>
      </c>
      <c r="D22" t="s">
        <v>77</v>
      </c>
      <c r="E22" t="s">
        <v>51</v>
      </c>
      <c r="F22" t="s">
        <v>187</v>
      </c>
      <c r="G22" t="s">
        <v>188</v>
      </c>
      <c r="H22" t="s">
        <v>65</v>
      </c>
      <c r="I22" t="s">
        <v>189</v>
      </c>
      <c r="J22" t="s">
        <v>190</v>
      </c>
      <c r="K22" t="s">
        <v>191</v>
      </c>
      <c r="Q22" t="s">
        <v>82</v>
      </c>
      <c r="Y22" t="s">
        <v>69</v>
      </c>
      <c r="Z22" t="s">
        <v>192</v>
      </c>
      <c r="AB22" t="s">
        <v>71</v>
      </c>
      <c r="AC22" t="s">
        <v>59</v>
      </c>
      <c r="AD22" t="s">
        <v>86</v>
      </c>
      <c r="AF22" t="s">
        <v>86</v>
      </c>
      <c r="AG22" t="s">
        <v>159</v>
      </c>
      <c r="AM22" t="s">
        <v>151</v>
      </c>
      <c r="AT22" t="s">
        <v>62</v>
      </c>
      <c r="AU22" t="s">
        <v>74</v>
      </c>
    </row>
    <row r="23" spans="1:52">
      <c r="A23">
        <f>HYPERLINK("https://edge.metroleads.com/companies/0c7e9033-589f-47bc-8bd1-ed16f4709436/leads#/lead/72af21bd-609d-4fb1-9e01-7a8c709d9db0", "72af21bd-609d-4fb1-9e01-7a8c709d9db0")</f>
        <v/>
      </c>
      <c r="B23" t="s">
        <v>193</v>
      </c>
      <c r="C23" t="s">
        <v>34</v>
      </c>
      <c r="D23" t="s">
        <v>77</v>
      </c>
      <c r="E23" t="s">
        <v>51</v>
      </c>
      <c r="F23" t="s">
        <v>78</v>
      </c>
      <c r="G23" t="s">
        <v>194</v>
      </c>
      <c r="H23" t="s">
        <v>65</v>
      </c>
      <c r="I23" t="s">
        <v>195</v>
      </c>
      <c r="J23" t="s">
        <v>196</v>
      </c>
      <c r="Q23" t="s">
        <v>82</v>
      </c>
      <c r="W23" t="s">
        <v>69</v>
      </c>
      <c r="X23" t="s">
        <v>69</v>
      </c>
      <c r="Y23" t="s">
        <v>69</v>
      </c>
      <c r="Z23" t="s">
        <v>58</v>
      </c>
      <c r="AA23" t="s">
        <v>125</v>
      </c>
      <c r="AB23" t="s">
        <v>71</v>
      </c>
      <c r="AC23" t="s">
        <v>126</v>
      </c>
      <c r="AD23" t="s">
        <v>197</v>
      </c>
      <c r="AE23" t="s">
        <v>87</v>
      </c>
      <c r="AG23" t="s">
        <v>198</v>
      </c>
      <c r="AH23" t="s">
        <v>91</v>
      </c>
      <c r="AM23" t="s">
        <v>89</v>
      </c>
    </row>
    <row r="24" spans="1:52">
      <c r="A24">
        <f>HYPERLINK("https://edge.metroleads.com/companies/0c7e9033-589f-47bc-8bd1-ed16f4709436/leads#/lead/9b0c0bd9-c1f1-48d9-b602-d9d13ccd9e7b", "9b0c0bd9-c1f1-48d9-b602-d9d13ccd9e7b")</f>
        <v/>
      </c>
      <c r="B24" t="s">
        <v>199</v>
      </c>
      <c r="C24" t="s">
        <v>34</v>
      </c>
      <c r="D24" t="s">
        <v>77</v>
      </c>
      <c r="E24" t="s">
        <v>51</v>
      </c>
      <c r="F24" t="s">
        <v>78</v>
      </c>
      <c r="G24" t="s">
        <v>200</v>
      </c>
      <c r="H24" t="s">
        <v>65</v>
      </c>
      <c r="I24" t="s">
        <v>201</v>
      </c>
      <c r="J24" t="s">
        <v>202</v>
      </c>
      <c r="Q24" t="s">
        <v>82</v>
      </c>
      <c r="W24" t="s">
        <v>69</v>
      </c>
      <c r="X24" t="s">
        <v>69</v>
      </c>
      <c r="Y24" t="s">
        <v>69</v>
      </c>
      <c r="Z24" t="s">
        <v>203</v>
      </c>
      <c r="AA24" t="s">
        <v>84</v>
      </c>
      <c r="AB24" t="s">
        <v>71</v>
      </c>
      <c r="AC24" t="s">
        <v>85</v>
      </c>
      <c r="AD24" t="s">
        <v>86</v>
      </c>
      <c r="AE24" t="s">
        <v>87</v>
      </c>
      <c r="AG24" t="s">
        <v>198</v>
      </c>
      <c r="AH24" t="s">
        <v>91</v>
      </c>
      <c r="AM24" t="s">
        <v>113</v>
      </c>
    </row>
    <row r="25" spans="1:52">
      <c r="A25">
        <f>HYPERLINK("https://edge.metroleads.com/companies/0c7e9033-589f-47bc-8bd1-ed16f4709436/leads#/lead/36c61290-f320-4da6-ab37-7a6c3a849208", "36c61290-f320-4da6-ab37-7a6c3a849208")</f>
        <v/>
      </c>
      <c r="B25" t="s">
        <v>204</v>
      </c>
      <c r="C25" t="s">
        <v>65</v>
      </c>
      <c r="D25" t="s">
        <v>66</v>
      </c>
      <c r="E25" t="s">
        <v>205</v>
      </c>
      <c r="F25" t="s">
        <v>206</v>
      </c>
      <c r="G25" t="s">
        <v>207</v>
      </c>
      <c r="H25" t="s">
        <v>65</v>
      </c>
      <c r="I25" t="s">
        <v>207</v>
      </c>
      <c r="J25" t="s">
        <v>208</v>
      </c>
      <c r="R25" t="s">
        <v>209</v>
      </c>
      <c r="Y25" t="s">
        <v>69</v>
      </c>
      <c r="Z25" t="s">
        <v>94</v>
      </c>
      <c r="AB25" t="s">
        <v>71</v>
      </c>
      <c r="AC25" t="s">
        <v>72</v>
      </c>
      <c r="AG25" t="s">
        <v>73</v>
      </c>
      <c r="AT25" t="s">
        <v>62</v>
      </c>
      <c r="AU25" t="s">
        <v>74</v>
      </c>
    </row>
    <row r="26" spans="1:52">
      <c r="A26">
        <f>HYPERLINK("https://edge.metroleads.com/companies/0c7e9033-589f-47bc-8bd1-ed16f4709436/leads#/lead/b01198cd-8112-47c9-b789-a51d819e93e3", "b01198cd-8112-47c9-b789-a51d819e93e3")</f>
        <v/>
      </c>
      <c r="B26" t="s">
        <v>210</v>
      </c>
      <c r="C26" t="s">
        <v>54</v>
      </c>
      <c r="D26" t="s">
        <v>211</v>
      </c>
      <c r="E26" t="s">
        <v>51</v>
      </c>
      <c r="F26" t="s">
        <v>52</v>
      </c>
      <c r="G26" t="s">
        <v>212</v>
      </c>
      <c r="H26" t="s">
        <v>49</v>
      </c>
      <c r="I26" t="s">
        <v>213</v>
      </c>
      <c r="J26" t="s">
        <v>214</v>
      </c>
      <c r="Y26" t="s">
        <v>57</v>
      </c>
      <c r="Z26" t="s">
        <v>83</v>
      </c>
      <c r="AC26" t="s">
        <v>149</v>
      </c>
      <c r="AG26" t="s">
        <v>128</v>
      </c>
      <c r="AT26" t="s">
        <v>62</v>
      </c>
      <c r="AU26" t="s">
        <v>63</v>
      </c>
    </row>
    <row r="27" spans="1:52">
      <c r="A27">
        <f>HYPERLINK("https://edge.metroleads.com/companies/0c7e9033-589f-47bc-8bd1-ed16f4709436/leads#/lead/4999e79f-78bb-46e4-bcaf-d63c976c9c71", "4999e79f-78bb-46e4-bcaf-d63c976c9c71")</f>
        <v/>
      </c>
      <c r="B27" t="s">
        <v>215</v>
      </c>
      <c r="C27" t="s">
        <v>34</v>
      </c>
      <c r="D27" t="s">
        <v>117</v>
      </c>
      <c r="E27" t="s">
        <v>51</v>
      </c>
      <c r="F27" t="s">
        <v>103</v>
      </c>
      <c r="G27" t="s">
        <v>216</v>
      </c>
      <c r="H27" t="s">
        <v>49</v>
      </c>
      <c r="I27" t="s">
        <v>217</v>
      </c>
      <c r="J27" t="s">
        <v>218</v>
      </c>
      <c r="Q27" t="s">
        <v>52</v>
      </c>
      <c r="R27" t="s">
        <v>219</v>
      </c>
      <c r="S27" t="s">
        <v>220</v>
      </c>
      <c r="T27" t="s">
        <v>221</v>
      </c>
      <c r="W27" t="s">
        <v>124</v>
      </c>
      <c r="Y27" t="s">
        <v>124</v>
      </c>
      <c r="Z27" t="s">
        <v>222</v>
      </c>
      <c r="AA27" t="s">
        <v>223</v>
      </c>
      <c r="AB27" t="s">
        <v>71</v>
      </c>
      <c r="AC27" t="s">
        <v>185</v>
      </c>
      <c r="AD27" t="s">
        <v>127</v>
      </c>
      <c r="AE27" t="s">
        <v>87</v>
      </c>
      <c r="AG27" t="s">
        <v>150</v>
      </c>
      <c r="AJ27" t="s">
        <v>224</v>
      </c>
      <c r="AM27" t="s">
        <v>225</v>
      </c>
    </row>
    <row r="28" spans="1:52">
      <c r="A28">
        <f>HYPERLINK("https://edge.metroleads.com/companies/0c7e9033-589f-47bc-8bd1-ed16f4709436/leads#/lead/f2b79faa-4e6b-45b3-b943-935053cf1f92", "f2b79faa-4e6b-45b3-b943-935053cf1f92")</f>
        <v/>
      </c>
      <c r="B28" t="s">
        <v>226</v>
      </c>
      <c r="C28" t="s">
        <v>34</v>
      </c>
      <c r="D28" t="s">
        <v>77</v>
      </c>
      <c r="E28" t="s">
        <v>51</v>
      </c>
      <c r="F28" t="s">
        <v>103</v>
      </c>
      <c r="G28" t="s">
        <v>227</v>
      </c>
      <c r="H28" t="s">
        <v>54</v>
      </c>
      <c r="I28" t="s">
        <v>228</v>
      </c>
      <c r="J28" t="s">
        <v>229</v>
      </c>
      <c r="K28" t="s">
        <v>230</v>
      </c>
      <c r="L28" t="s">
        <v>231</v>
      </c>
      <c r="Q28" t="s">
        <v>82</v>
      </c>
      <c r="W28" t="s">
        <v>69</v>
      </c>
      <c r="X28" t="s">
        <v>69</v>
      </c>
      <c r="Y28" t="s">
        <v>124</v>
      </c>
      <c r="Z28" t="s">
        <v>83</v>
      </c>
      <c r="AA28" t="s">
        <v>125</v>
      </c>
      <c r="AB28" t="s">
        <v>71</v>
      </c>
      <c r="AC28" t="s">
        <v>126</v>
      </c>
      <c r="AD28" t="s">
        <v>127</v>
      </c>
      <c r="AE28" t="s">
        <v>87</v>
      </c>
      <c r="AG28" t="s">
        <v>232</v>
      </c>
      <c r="AH28" t="s">
        <v>91</v>
      </c>
      <c r="AM28" t="s">
        <v>233</v>
      </c>
      <c r="AO28" t="s">
        <v>140</v>
      </c>
      <c r="AQ28" t="s">
        <v>141</v>
      </c>
    </row>
    <row r="29" spans="1:52">
      <c r="A29">
        <f>HYPERLINK("https://edge.metroleads.com/companies/0c7e9033-589f-47bc-8bd1-ed16f4709436/leads#/lead/91d564fa-5783-48fe-a824-ab389a23521e", "91d564fa-5783-48fe-a824-ab389a23521e")</f>
        <v/>
      </c>
      <c r="B29" t="s">
        <v>234</v>
      </c>
      <c r="C29" t="s">
        <v>49</v>
      </c>
      <c r="D29" t="s">
        <v>235</v>
      </c>
      <c r="E29" t="s">
        <v>51</v>
      </c>
      <c r="F29" t="s">
        <v>236</v>
      </c>
      <c r="G29" t="s">
        <v>237</v>
      </c>
      <c r="H29" t="s">
        <v>65</v>
      </c>
      <c r="I29" t="s">
        <v>238</v>
      </c>
      <c r="J29" t="s">
        <v>239</v>
      </c>
      <c r="U29" t="s">
        <v>240</v>
      </c>
      <c r="V29" t="s">
        <v>241</v>
      </c>
      <c r="Y29" t="s">
        <v>57</v>
      </c>
      <c r="Z29" t="s">
        <v>58</v>
      </c>
      <c r="AC29" t="s">
        <v>171</v>
      </c>
      <c r="AG29" t="s">
        <v>242</v>
      </c>
      <c r="AT29" t="s">
        <v>62</v>
      </c>
      <c r="AU29" t="s">
        <v>63</v>
      </c>
    </row>
    <row r="30" spans="1:52">
      <c r="A30">
        <f>HYPERLINK("https://edge.metroleads.com/companies/0c7e9033-589f-47bc-8bd1-ed16f4709436/leads#/lead/853a80b2-30b1-414c-8ff3-7d8d90f4b185", "853a80b2-30b1-414c-8ff3-7d8d90f4b185")</f>
        <v/>
      </c>
      <c r="B30" t="s">
        <v>243</v>
      </c>
      <c r="C30" t="s">
        <v>54</v>
      </c>
      <c r="D30" t="s">
        <v>244</v>
      </c>
      <c r="E30" t="s">
        <v>51</v>
      </c>
      <c r="F30" t="s">
        <v>245</v>
      </c>
      <c r="G30" t="s">
        <v>246</v>
      </c>
      <c r="H30" t="s">
        <v>247</v>
      </c>
      <c r="I30" t="s">
        <v>248</v>
      </c>
      <c r="J30" t="s">
        <v>249</v>
      </c>
      <c r="K30" t="s">
        <v>250</v>
      </c>
      <c r="L30" t="s">
        <v>251</v>
      </c>
      <c r="Q30" t="s">
        <v>252</v>
      </c>
      <c r="R30" t="s">
        <v>253</v>
      </c>
      <c r="W30" t="s">
        <v>57</v>
      </c>
      <c r="X30" t="s">
        <v>57</v>
      </c>
      <c r="Y30" t="s">
        <v>57</v>
      </c>
      <c r="Z30" t="s">
        <v>83</v>
      </c>
      <c r="AA30" t="s">
        <v>254</v>
      </c>
      <c r="AB30" t="s">
        <v>71</v>
      </c>
      <c r="AC30" t="s">
        <v>255</v>
      </c>
      <c r="AE30" t="s">
        <v>87</v>
      </c>
      <c r="AG30" t="s">
        <v>128</v>
      </c>
      <c r="AM30" t="s">
        <v>151</v>
      </c>
      <c r="AO30" t="s">
        <v>256</v>
      </c>
      <c r="AQ30" t="s">
        <v>257</v>
      </c>
      <c r="AR30" t="s">
        <v>258</v>
      </c>
      <c r="AS30" t="s">
        <v>259</v>
      </c>
      <c r="AT30" t="s">
        <v>62</v>
      </c>
      <c r="AU30" t="s">
        <v>63</v>
      </c>
      <c r="AV30" t="s">
        <v>57</v>
      </c>
      <c r="AW30" t="s">
        <v>83</v>
      </c>
      <c r="AX30" t="s">
        <v>59</v>
      </c>
    </row>
    <row r="31" spans="1:52">
      <c r="A31">
        <f>HYPERLINK("https://edge.metroleads.com/companies/0c7e9033-589f-47bc-8bd1-ed16f4709436/leads#/lead/693122f9-01f4-4680-a8ce-02766c33dc51", "693122f9-01f4-4680-a8ce-02766c33dc51")</f>
        <v/>
      </c>
      <c r="B31" t="s">
        <v>260</v>
      </c>
      <c r="C31" t="s">
        <v>54</v>
      </c>
      <c r="D31" t="s">
        <v>244</v>
      </c>
      <c r="E31" t="s">
        <v>51</v>
      </c>
      <c r="F31" t="s">
        <v>52</v>
      </c>
      <c r="G31" t="s">
        <v>261</v>
      </c>
      <c r="H31" t="s">
        <v>65</v>
      </c>
      <c r="I31" t="s">
        <v>262</v>
      </c>
      <c r="J31" t="s">
        <v>263</v>
      </c>
      <c r="Y31" t="s">
        <v>57</v>
      </c>
      <c r="Z31" t="s">
        <v>83</v>
      </c>
      <c r="AC31" t="s">
        <v>149</v>
      </c>
      <c r="AG31" t="s">
        <v>264</v>
      </c>
      <c r="AT31" t="s">
        <v>62</v>
      </c>
      <c r="AU31" t="s">
        <v>63</v>
      </c>
      <c r="AZ31" t="s">
        <v>265</v>
      </c>
    </row>
    <row r="32" spans="1:52">
      <c r="A32">
        <f>HYPERLINK("https://edge.metroleads.com/companies/0c7e9033-589f-47bc-8bd1-ed16f4709436/leads#/lead/12dfd39e-f620-4e8e-94c3-e822f5b24ff8", "12dfd39e-f620-4e8e-94c3-e822f5b24ff8")</f>
        <v/>
      </c>
      <c r="B32" t="s">
        <v>266</v>
      </c>
      <c r="C32" t="s">
        <v>34</v>
      </c>
      <c r="D32" t="s">
        <v>50</v>
      </c>
      <c r="E32" t="s">
        <v>51</v>
      </c>
      <c r="F32" t="s">
        <v>52</v>
      </c>
      <c r="G32" t="s">
        <v>267</v>
      </c>
      <c r="H32" t="s">
        <v>54</v>
      </c>
      <c r="I32" t="s">
        <v>268</v>
      </c>
      <c r="J32" t="s">
        <v>269</v>
      </c>
      <c r="Y32" t="s">
        <v>57</v>
      </c>
      <c r="Z32" t="s">
        <v>83</v>
      </c>
      <c r="AC32" t="s">
        <v>149</v>
      </c>
      <c r="AG32" t="s">
        <v>264</v>
      </c>
      <c r="AM32" t="s">
        <v>270</v>
      </c>
      <c r="AT32" t="s">
        <v>62</v>
      </c>
      <c r="AU32" t="s">
        <v>63</v>
      </c>
    </row>
    <row r="33" spans="1:52">
      <c r="A33">
        <f>HYPERLINK("https://edge.metroleads.com/companies/0c7e9033-589f-47bc-8bd1-ed16f4709436/leads#/lead/dec6b8d3-7568-476e-97f4-4197d0f9fa83", "dec6b8d3-7568-476e-97f4-4197d0f9fa83")</f>
        <v/>
      </c>
      <c r="B33" t="s">
        <v>271</v>
      </c>
      <c r="C33" t="s">
        <v>54</v>
      </c>
      <c r="D33" t="s">
        <v>211</v>
      </c>
      <c r="E33" t="s">
        <v>51</v>
      </c>
      <c r="F33" t="s">
        <v>161</v>
      </c>
      <c r="G33" t="s">
        <v>272</v>
      </c>
      <c r="H33" t="s">
        <v>65</v>
      </c>
      <c r="I33" t="s">
        <v>213</v>
      </c>
      <c r="J33" t="s">
        <v>273</v>
      </c>
      <c r="K33" t="s">
        <v>274</v>
      </c>
      <c r="Y33" t="s">
        <v>57</v>
      </c>
      <c r="Z33" t="s">
        <v>58</v>
      </c>
      <c r="AC33" t="s">
        <v>59</v>
      </c>
      <c r="AD33" t="s">
        <v>275</v>
      </c>
      <c r="AF33" t="s">
        <v>60</v>
      </c>
      <c r="AG33" t="s">
        <v>128</v>
      </c>
      <c r="AT33" t="s">
        <v>62</v>
      </c>
      <c r="AU33" t="s">
        <v>276</v>
      </c>
    </row>
    <row r="34" spans="1:52">
      <c r="A34">
        <f>HYPERLINK("https://edge.metroleads.com/companies/0c7e9033-589f-47bc-8bd1-ed16f4709436/leads#/lead/539820b8-9aad-476b-9e01-cfd343ed9570", "539820b8-9aad-476b-9e01-cfd343ed9570")</f>
        <v/>
      </c>
      <c r="B34" t="s">
        <v>277</v>
      </c>
      <c r="C34" t="s">
        <v>34</v>
      </c>
      <c r="D34" t="s">
        <v>50</v>
      </c>
      <c r="E34" t="s">
        <v>51</v>
      </c>
      <c r="F34" t="s">
        <v>161</v>
      </c>
      <c r="G34" t="s">
        <v>278</v>
      </c>
      <c r="H34" t="s">
        <v>54</v>
      </c>
      <c r="I34" t="s">
        <v>279</v>
      </c>
      <c r="J34" t="s">
        <v>280</v>
      </c>
      <c r="K34" t="s">
        <v>281</v>
      </c>
      <c r="Y34" t="s">
        <v>57</v>
      </c>
      <c r="Z34" t="s">
        <v>83</v>
      </c>
      <c r="AB34" t="s">
        <v>71</v>
      </c>
      <c r="AC34" t="s">
        <v>282</v>
      </c>
      <c r="AD34" t="s">
        <v>60</v>
      </c>
      <c r="AG34" t="s">
        <v>150</v>
      </c>
      <c r="AM34" t="s">
        <v>283</v>
      </c>
      <c r="AT34" t="s">
        <v>62</v>
      </c>
      <c r="AU34" t="s">
        <v>63</v>
      </c>
      <c r="AZ34" t="s">
        <v>284</v>
      </c>
    </row>
    <row r="35" spans="1:52">
      <c r="A35">
        <f>HYPERLINK("https://edge.metroleads.com/companies/0c7e9033-589f-47bc-8bd1-ed16f4709436/leads#/lead/0431e3fe-17bf-43ec-a992-b87adfa8632c", "0431e3fe-17bf-43ec-a992-b87adfa8632c")</f>
        <v/>
      </c>
      <c r="B35" t="s">
        <v>285</v>
      </c>
      <c r="C35" t="s">
        <v>49</v>
      </c>
      <c r="D35" t="s">
        <v>235</v>
      </c>
      <c r="E35" t="s">
        <v>51</v>
      </c>
      <c r="F35" t="s">
        <v>286</v>
      </c>
      <c r="G35" t="s">
        <v>287</v>
      </c>
      <c r="H35" t="s">
        <v>65</v>
      </c>
      <c r="I35" t="s">
        <v>288</v>
      </c>
      <c r="J35" t="s">
        <v>289</v>
      </c>
      <c r="K35" t="s">
        <v>290</v>
      </c>
      <c r="M35" t="s">
        <v>291</v>
      </c>
      <c r="W35" t="s">
        <v>292</v>
      </c>
      <c r="Y35" t="s">
        <v>57</v>
      </c>
      <c r="Z35" t="s">
        <v>83</v>
      </c>
      <c r="AC35" t="s">
        <v>149</v>
      </c>
      <c r="AD35" t="s">
        <v>275</v>
      </c>
      <c r="AE35" t="s">
        <v>87</v>
      </c>
      <c r="AG35" t="s">
        <v>128</v>
      </c>
      <c r="AT35" t="s">
        <v>62</v>
      </c>
      <c r="AU35" t="s">
        <v>276</v>
      </c>
    </row>
    <row r="36" spans="1:52">
      <c r="A36">
        <f>HYPERLINK("https://edge.metroleads.com/companies/0c7e9033-589f-47bc-8bd1-ed16f4709436/leads#/lead/0a9305f1-67dd-47ab-9586-f44898303da0", "0a9305f1-67dd-47ab-9586-f44898303da0")</f>
        <v/>
      </c>
      <c r="B36" t="s">
        <v>293</v>
      </c>
      <c r="C36" t="s">
        <v>49</v>
      </c>
      <c r="D36" t="s">
        <v>244</v>
      </c>
      <c r="E36" t="s">
        <v>51</v>
      </c>
      <c r="F36" t="s">
        <v>52</v>
      </c>
      <c r="G36" t="s">
        <v>294</v>
      </c>
      <c r="H36" t="s">
        <v>54</v>
      </c>
      <c r="I36" t="s">
        <v>295</v>
      </c>
      <c r="J36" t="s">
        <v>296</v>
      </c>
      <c r="K36" t="s">
        <v>297</v>
      </c>
      <c r="L36" t="s">
        <v>298</v>
      </c>
      <c r="N36" t="s">
        <v>299</v>
      </c>
      <c r="Y36" t="s">
        <v>57</v>
      </c>
      <c r="Z36" t="s">
        <v>83</v>
      </c>
      <c r="AC36" t="s">
        <v>59</v>
      </c>
      <c r="AD36" t="s">
        <v>275</v>
      </c>
      <c r="AF36" t="s">
        <v>60</v>
      </c>
      <c r="AG36" t="s">
        <v>61</v>
      </c>
      <c r="AT36" t="s">
        <v>62</v>
      </c>
      <c r="AU36" t="s">
        <v>276</v>
      </c>
    </row>
    <row r="37" spans="1:52">
      <c r="A37">
        <f>HYPERLINK("https://edge.metroleads.com/companies/0c7e9033-589f-47bc-8bd1-ed16f4709436/leads#/lead/56697639-907f-4f16-ac17-b0d14928e167", "56697639-907f-4f16-ac17-b0d14928e167")</f>
        <v/>
      </c>
      <c r="B37" t="s">
        <v>300</v>
      </c>
      <c r="C37" t="s">
        <v>54</v>
      </c>
      <c r="D37" t="s">
        <v>244</v>
      </c>
      <c r="E37" t="s">
        <v>51</v>
      </c>
      <c r="F37" t="s">
        <v>52</v>
      </c>
      <c r="G37" t="s">
        <v>301</v>
      </c>
      <c r="H37" t="s">
        <v>65</v>
      </c>
      <c r="I37" t="s">
        <v>302</v>
      </c>
      <c r="J37" t="s">
        <v>303</v>
      </c>
      <c r="Y37" t="s">
        <v>57</v>
      </c>
      <c r="Z37" t="s">
        <v>83</v>
      </c>
      <c r="AC37" t="s">
        <v>59</v>
      </c>
      <c r="AG37" t="s">
        <v>304</v>
      </c>
      <c r="AT37" t="s">
        <v>62</v>
      </c>
      <c r="AU37" t="s">
        <v>63</v>
      </c>
      <c r="AZ37" t="s">
        <v>265</v>
      </c>
    </row>
    <row r="38" spans="1:52">
      <c r="A38">
        <f>HYPERLINK("https://edge.metroleads.com/companies/0c7e9033-589f-47bc-8bd1-ed16f4709436/leads#/lead/59b15344-808b-4bfe-a8d1-622ff754da10", "59b15344-808b-4bfe-a8d1-622ff754da10")</f>
        <v/>
      </c>
      <c r="B38" t="s">
        <v>305</v>
      </c>
      <c r="C38" t="s">
        <v>49</v>
      </c>
      <c r="D38" t="s">
        <v>50</v>
      </c>
      <c r="E38" t="s">
        <v>51</v>
      </c>
      <c r="F38" t="s">
        <v>52</v>
      </c>
      <c r="G38" t="s">
        <v>306</v>
      </c>
      <c r="H38" t="s">
        <v>65</v>
      </c>
      <c r="I38" t="s">
        <v>307</v>
      </c>
      <c r="J38" t="s">
        <v>308</v>
      </c>
      <c r="X38" t="s">
        <v>57</v>
      </c>
      <c r="Y38" t="s">
        <v>57</v>
      </c>
      <c r="Z38" t="s">
        <v>83</v>
      </c>
      <c r="AC38" t="s">
        <v>59</v>
      </c>
      <c r="AG38" t="s">
        <v>159</v>
      </c>
      <c r="AT38" t="s">
        <v>62</v>
      </c>
      <c r="AU38" t="s">
        <v>63</v>
      </c>
    </row>
    <row r="39" spans="1:52">
      <c r="A39">
        <f>HYPERLINK("https://edge.metroleads.com/companies/0c7e9033-589f-47bc-8bd1-ed16f4709436/leads#/lead/05235684-cf2e-4e95-9eb1-957aac3654ce", "05235684-cf2e-4e95-9eb1-957aac3654ce")</f>
        <v/>
      </c>
      <c r="B39" t="s">
        <v>309</v>
      </c>
      <c r="C39" t="s">
        <v>54</v>
      </c>
      <c r="D39" t="s">
        <v>244</v>
      </c>
      <c r="E39" t="s">
        <v>51</v>
      </c>
      <c r="F39" t="s">
        <v>52</v>
      </c>
      <c r="G39" t="s">
        <v>310</v>
      </c>
      <c r="H39" t="s">
        <v>65</v>
      </c>
      <c r="I39" t="s">
        <v>311</v>
      </c>
      <c r="J39" t="s">
        <v>312</v>
      </c>
      <c r="K39" t="s">
        <v>313</v>
      </c>
      <c r="Y39" t="s">
        <v>57</v>
      </c>
      <c r="Z39" t="s">
        <v>83</v>
      </c>
      <c r="AC39" t="s">
        <v>59</v>
      </c>
      <c r="AD39" t="s">
        <v>314</v>
      </c>
      <c r="AF39" t="s">
        <v>314</v>
      </c>
      <c r="AG39" t="s">
        <v>159</v>
      </c>
      <c r="AT39" t="s">
        <v>62</v>
      </c>
      <c r="AU39" t="s">
        <v>276</v>
      </c>
      <c r="AZ39" t="s">
        <v>265</v>
      </c>
    </row>
    <row r="40" spans="1:52">
      <c r="A40">
        <f>HYPERLINK("https://edge.metroleads.com/companies/0c7e9033-589f-47bc-8bd1-ed16f4709436/leads#/lead/77892053-37c9-433c-8765-b6e32811fee4", "77892053-37c9-433c-8765-b6e32811fee4")</f>
        <v/>
      </c>
      <c r="B40" t="s">
        <v>315</v>
      </c>
      <c r="C40" t="s">
        <v>54</v>
      </c>
      <c r="D40" t="s">
        <v>211</v>
      </c>
      <c r="E40" t="s">
        <v>51</v>
      </c>
      <c r="F40" t="s">
        <v>52</v>
      </c>
      <c r="G40" t="s">
        <v>316</v>
      </c>
      <c r="H40" t="s">
        <v>65</v>
      </c>
      <c r="I40" t="s">
        <v>317</v>
      </c>
      <c r="J40" t="s">
        <v>318</v>
      </c>
      <c r="Y40" t="s">
        <v>57</v>
      </c>
      <c r="Z40" t="s">
        <v>83</v>
      </c>
      <c r="AC40" t="s">
        <v>59</v>
      </c>
      <c r="AG40" t="s">
        <v>319</v>
      </c>
      <c r="AT40" t="s">
        <v>62</v>
      </c>
      <c r="AU40" t="s">
        <v>276</v>
      </c>
      <c r="AZ40" t="s">
        <v>265</v>
      </c>
    </row>
    <row r="41" spans="1:52">
      <c r="A41">
        <f>HYPERLINK("https://edge.metroleads.com/companies/0c7e9033-589f-47bc-8bd1-ed16f4709436/leads#/lead/b02cd464-bd11-4c37-b58e-97893e3ce8b2", "b02cd464-bd11-4c37-b58e-97893e3ce8b2")</f>
        <v/>
      </c>
      <c r="B41" t="s">
        <v>320</v>
      </c>
      <c r="C41" t="s">
        <v>49</v>
      </c>
      <c r="D41" t="s">
        <v>50</v>
      </c>
      <c r="E41" t="s">
        <v>51</v>
      </c>
      <c r="F41" t="s">
        <v>52</v>
      </c>
      <c r="G41" t="s">
        <v>321</v>
      </c>
      <c r="H41" t="s">
        <v>65</v>
      </c>
      <c r="I41" t="s">
        <v>307</v>
      </c>
      <c r="J41" t="s">
        <v>322</v>
      </c>
      <c r="X41" t="s">
        <v>57</v>
      </c>
      <c r="Y41" t="s">
        <v>57</v>
      </c>
      <c r="Z41" t="s">
        <v>83</v>
      </c>
      <c r="AC41" t="s">
        <v>149</v>
      </c>
      <c r="AD41" t="s">
        <v>60</v>
      </c>
      <c r="AG41" t="s">
        <v>159</v>
      </c>
      <c r="AT41" t="s">
        <v>62</v>
      </c>
      <c r="AU41" t="s">
        <v>63</v>
      </c>
    </row>
    <row r="42" spans="1:52">
      <c r="A42">
        <f>HYPERLINK("https://edge.metroleads.com/companies/0c7e9033-589f-47bc-8bd1-ed16f4709436/leads#/lead/5b64b6b7-7376-4101-80c8-67484901e674", "5b64b6b7-7376-4101-80c8-67484901e674")</f>
        <v/>
      </c>
      <c r="B42" t="s">
        <v>323</v>
      </c>
      <c r="C42" t="s">
        <v>65</v>
      </c>
      <c r="D42" t="s">
        <v>77</v>
      </c>
      <c r="E42" t="s">
        <v>51</v>
      </c>
      <c r="F42" t="s">
        <v>161</v>
      </c>
      <c r="G42" t="s">
        <v>324</v>
      </c>
      <c r="H42" t="s"/>
      <c r="I42" t="s"/>
      <c r="J42" t="s">
        <v>325</v>
      </c>
      <c r="K42" t="s">
        <v>326</v>
      </c>
      <c r="Q42" t="s">
        <v>82</v>
      </c>
      <c r="X42" t="s">
        <v>69</v>
      </c>
      <c r="Y42" t="s">
        <v>69</v>
      </c>
      <c r="Z42" t="s">
        <v>94</v>
      </c>
      <c r="AB42" t="s">
        <v>71</v>
      </c>
      <c r="AC42" t="s">
        <v>72</v>
      </c>
      <c r="AG42" t="s">
        <v>242</v>
      </c>
      <c r="AH42" t="s">
        <v>66</v>
      </c>
      <c r="AT42" t="s">
        <v>62</v>
      </c>
      <c r="AU42" t="s">
        <v>74</v>
      </c>
    </row>
    <row r="43" spans="1:52">
      <c r="A43">
        <f>HYPERLINK("https://edge.metroleads.com/companies/0c7e9033-589f-47bc-8bd1-ed16f4709436/leads#/lead/23f70152-fea2-4fbb-b414-0a20a7d06d94", "23f70152-fea2-4fbb-b414-0a20a7d06d94")</f>
        <v/>
      </c>
      <c r="B43" t="s">
        <v>327</v>
      </c>
      <c r="C43" t="s">
        <v>34</v>
      </c>
      <c r="D43" t="s">
        <v>328</v>
      </c>
      <c r="E43" t="s">
        <v>51</v>
      </c>
      <c r="F43" t="s">
        <v>329</v>
      </c>
      <c r="G43" t="s">
        <v>330</v>
      </c>
      <c r="H43" t="s">
        <v>54</v>
      </c>
      <c r="I43" t="s">
        <v>331</v>
      </c>
      <c r="J43" t="s">
        <v>332</v>
      </c>
      <c r="W43" t="s">
        <v>57</v>
      </c>
      <c r="X43" t="s">
        <v>57</v>
      </c>
      <c r="Z43" t="s">
        <v>83</v>
      </c>
      <c r="AA43" t="s">
        <v>333</v>
      </c>
      <c r="AB43" t="s">
        <v>71</v>
      </c>
      <c r="AC43" t="s">
        <v>126</v>
      </c>
      <c r="AD43" t="s">
        <v>334</v>
      </c>
      <c r="AE43" t="s">
        <v>87</v>
      </c>
      <c r="AG43" t="s">
        <v>242</v>
      </c>
      <c r="AH43" t="s">
        <v>328</v>
      </c>
      <c r="AJ43" t="s">
        <v>335</v>
      </c>
      <c r="AM43" t="s">
        <v>151</v>
      </c>
    </row>
    <row r="44" spans="1:52">
      <c r="A44">
        <f>HYPERLINK("https://edge.metroleads.com/companies/0c7e9033-589f-47bc-8bd1-ed16f4709436/leads#/lead/502e9902-52a0-4144-b509-be93cd0be4bf", "502e9902-52a0-4144-b509-be93cd0be4bf")</f>
        <v/>
      </c>
      <c r="B44" t="s">
        <v>336</v>
      </c>
      <c r="C44" t="s">
        <v>54</v>
      </c>
      <c r="D44" t="s">
        <v>235</v>
      </c>
      <c r="E44" t="s">
        <v>51</v>
      </c>
      <c r="F44" t="s">
        <v>52</v>
      </c>
      <c r="G44" t="s">
        <v>337</v>
      </c>
      <c r="H44" t="s">
        <v>65</v>
      </c>
      <c r="I44" t="s">
        <v>331</v>
      </c>
      <c r="J44" t="s">
        <v>338</v>
      </c>
      <c r="Y44" t="s">
        <v>57</v>
      </c>
      <c r="Z44" t="s">
        <v>58</v>
      </c>
      <c r="AC44" t="s">
        <v>171</v>
      </c>
      <c r="AG44" t="s">
        <v>339</v>
      </c>
      <c r="AT44" t="s">
        <v>62</v>
      </c>
      <c r="AU44" t="s">
        <v>63</v>
      </c>
    </row>
    <row r="45" spans="1:52">
      <c r="A45">
        <f>HYPERLINK("https://edge.metroleads.com/companies/0c7e9033-589f-47bc-8bd1-ed16f4709436/leads#/lead/f208e5fc-4d5c-4c6d-9ef7-7f123e951573", "f208e5fc-4d5c-4c6d-9ef7-7f123e951573")</f>
        <v/>
      </c>
      <c r="B45" t="s">
        <v>340</v>
      </c>
      <c r="C45" t="s">
        <v>54</v>
      </c>
      <c r="D45" t="s">
        <v>328</v>
      </c>
      <c r="E45" t="s">
        <v>51</v>
      </c>
      <c r="F45" t="s">
        <v>52</v>
      </c>
      <c r="G45" t="s">
        <v>341</v>
      </c>
      <c r="H45" t="s">
        <v>65</v>
      </c>
      <c r="I45" t="s">
        <v>342</v>
      </c>
      <c r="J45" t="s">
        <v>343</v>
      </c>
      <c r="X45" t="s">
        <v>57</v>
      </c>
      <c r="Y45" t="s">
        <v>57</v>
      </c>
      <c r="Z45" t="s">
        <v>83</v>
      </c>
      <c r="AC45" t="s">
        <v>149</v>
      </c>
      <c r="AG45" t="s">
        <v>128</v>
      </c>
      <c r="AH45" t="s">
        <v>328</v>
      </c>
      <c r="AI45" t="s">
        <v>54</v>
      </c>
      <c r="AJ45" t="s">
        <v>344</v>
      </c>
      <c r="AT45" t="s">
        <v>345</v>
      </c>
      <c r="AU45" t="s">
        <v>63</v>
      </c>
    </row>
    <row r="46" spans="1:52">
      <c r="A46">
        <f>HYPERLINK("https://edge.metroleads.com/companies/0c7e9033-589f-47bc-8bd1-ed16f4709436/leads#/lead/17c5fe79-7812-4f2a-a3e4-49f97c539f7e", "17c5fe79-7812-4f2a-a3e4-49f97c539f7e")</f>
        <v/>
      </c>
      <c r="B46" t="s">
        <v>346</v>
      </c>
      <c r="C46" t="s">
        <v>54</v>
      </c>
      <c r="D46" t="s">
        <v>328</v>
      </c>
      <c r="E46" t="s">
        <v>51</v>
      </c>
      <c r="F46" t="s">
        <v>52</v>
      </c>
      <c r="G46" t="s">
        <v>237</v>
      </c>
      <c r="H46" t="s">
        <v>65</v>
      </c>
      <c r="I46" t="s">
        <v>347</v>
      </c>
      <c r="J46" t="s">
        <v>348</v>
      </c>
      <c r="K46" t="s">
        <v>349</v>
      </c>
      <c r="Y46" t="s">
        <v>57</v>
      </c>
      <c r="Z46" t="s">
        <v>58</v>
      </c>
      <c r="AC46" t="s">
        <v>59</v>
      </c>
      <c r="AD46" t="s">
        <v>275</v>
      </c>
      <c r="AG46" t="s">
        <v>242</v>
      </c>
      <c r="AT46" t="s">
        <v>62</v>
      </c>
      <c r="AU46" t="s">
        <v>276</v>
      </c>
    </row>
    <row r="47" spans="1:52">
      <c r="A47">
        <f>HYPERLINK("https://edge.metroleads.com/companies/0c7e9033-589f-47bc-8bd1-ed16f4709436/leads#/lead/0369c9f2-86f1-4258-935e-79f4d619dd46", "0369c9f2-86f1-4258-935e-79f4d619dd46")</f>
        <v/>
      </c>
      <c r="B47" t="s">
        <v>350</v>
      </c>
      <c r="C47" t="s">
        <v>54</v>
      </c>
      <c r="D47" t="s">
        <v>328</v>
      </c>
      <c r="E47" t="s">
        <v>51</v>
      </c>
      <c r="F47" t="s">
        <v>52</v>
      </c>
      <c r="G47" t="s">
        <v>351</v>
      </c>
      <c r="H47" t="s">
        <v>65</v>
      </c>
      <c r="I47" t="s">
        <v>352</v>
      </c>
      <c r="J47" t="s">
        <v>353</v>
      </c>
      <c r="X47" t="s">
        <v>57</v>
      </c>
      <c r="Y47" t="s">
        <v>57</v>
      </c>
      <c r="Z47" t="s">
        <v>58</v>
      </c>
      <c r="AC47" t="s">
        <v>171</v>
      </c>
      <c r="AG47" t="s">
        <v>159</v>
      </c>
      <c r="AH47" t="s">
        <v>328</v>
      </c>
      <c r="AI47" t="s">
        <v>354</v>
      </c>
      <c r="AJ47" t="s">
        <v>355</v>
      </c>
      <c r="AT47" t="s">
        <v>62</v>
      </c>
      <c r="AU47" t="s">
        <v>63</v>
      </c>
    </row>
    <row r="48" spans="1:52">
      <c r="A48">
        <f>HYPERLINK("https://edge.metroleads.com/companies/0c7e9033-589f-47bc-8bd1-ed16f4709436/leads#/lead/2ad1fc84-b6f0-4977-a463-c77e880591d3", "2ad1fc84-b6f0-4977-a463-c77e880591d3")</f>
        <v/>
      </c>
      <c r="B48" t="s">
        <v>356</v>
      </c>
      <c r="C48" t="s">
        <v>34</v>
      </c>
      <c r="D48" t="s">
        <v>328</v>
      </c>
      <c r="E48" t="s">
        <v>51</v>
      </c>
      <c r="F48" t="s">
        <v>52</v>
      </c>
      <c r="G48" t="s">
        <v>357</v>
      </c>
      <c r="H48" t="s">
        <v>54</v>
      </c>
      <c r="I48" t="s">
        <v>358</v>
      </c>
      <c r="J48" t="s">
        <v>359</v>
      </c>
      <c r="X48" t="s">
        <v>57</v>
      </c>
      <c r="Y48" t="s">
        <v>57</v>
      </c>
      <c r="Z48" t="s">
        <v>83</v>
      </c>
      <c r="AC48" t="s">
        <v>59</v>
      </c>
      <c r="AG48" t="s">
        <v>150</v>
      </c>
      <c r="AH48" t="s">
        <v>328</v>
      </c>
      <c r="AI48" t="s">
        <v>49</v>
      </c>
      <c r="AJ48" t="s">
        <v>360</v>
      </c>
      <c r="AM48" t="s">
        <v>233</v>
      </c>
      <c r="AT48" t="s">
        <v>361</v>
      </c>
      <c r="AU48" t="s">
        <v>63</v>
      </c>
    </row>
    <row r="49" spans="1:52">
      <c r="A49">
        <f>HYPERLINK("https://edge.metroleads.com/companies/0c7e9033-589f-47bc-8bd1-ed16f4709436/leads#/lead/9f814173-eab8-4e54-9835-03742ae0188c", "9f814173-eab8-4e54-9835-03742ae0188c")</f>
        <v/>
      </c>
      <c r="B49" t="s">
        <v>362</v>
      </c>
      <c r="C49" t="s">
        <v>54</v>
      </c>
      <c r="D49" t="s">
        <v>363</v>
      </c>
      <c r="E49" t="s">
        <v>51</v>
      </c>
      <c r="F49" t="s">
        <v>329</v>
      </c>
      <c r="G49" t="s">
        <v>364</v>
      </c>
      <c r="H49" t="s">
        <v>365</v>
      </c>
      <c r="I49" t="s">
        <v>366</v>
      </c>
      <c r="J49" t="s">
        <v>367</v>
      </c>
      <c r="Q49" t="s">
        <v>82</v>
      </c>
      <c r="W49" t="s">
        <v>368</v>
      </c>
      <c r="X49" t="s">
        <v>69</v>
      </c>
      <c r="Y49" t="s">
        <v>69</v>
      </c>
      <c r="Z49" t="s">
        <v>369</v>
      </c>
      <c r="AA49" t="s">
        <v>370</v>
      </c>
      <c r="AB49" t="s">
        <v>71</v>
      </c>
      <c r="AC49" t="s">
        <v>371</v>
      </c>
      <c r="AD49" t="s">
        <v>197</v>
      </c>
      <c r="AE49" t="s">
        <v>87</v>
      </c>
      <c r="AG49" t="s">
        <v>138</v>
      </c>
      <c r="AN49" t="s">
        <v>372</v>
      </c>
      <c r="AZ49" t="s">
        <v>284</v>
      </c>
    </row>
    <row r="50" spans="1:52">
      <c r="A50">
        <f>HYPERLINK("https://edge.metroleads.com/companies/0c7e9033-589f-47bc-8bd1-ed16f4709436/leads#/lead/29a916d1-ed78-4ebd-8b6d-9b04ecd787b5", "29a916d1-ed78-4ebd-8b6d-9b04ecd787b5")</f>
        <v/>
      </c>
      <c r="B50" t="s">
        <v>373</v>
      </c>
      <c r="C50" t="s">
        <v>49</v>
      </c>
      <c r="D50" t="s">
        <v>235</v>
      </c>
      <c r="E50" t="s">
        <v>51</v>
      </c>
      <c r="F50" t="s">
        <v>161</v>
      </c>
      <c r="G50" t="s">
        <v>374</v>
      </c>
      <c r="H50" t="s">
        <v>54</v>
      </c>
      <c r="I50" t="s">
        <v>375</v>
      </c>
      <c r="J50" t="s">
        <v>376</v>
      </c>
      <c r="Y50" t="s">
        <v>57</v>
      </c>
      <c r="Z50" t="s">
        <v>83</v>
      </c>
      <c r="AC50" t="s">
        <v>149</v>
      </c>
      <c r="AG50" t="s">
        <v>61</v>
      </c>
      <c r="AT50" t="s">
        <v>62</v>
      </c>
      <c r="AU50" t="s">
        <v>63</v>
      </c>
    </row>
    <row r="51" spans="1:52">
      <c r="A51">
        <f>HYPERLINK("https://edge.metroleads.com/companies/0c7e9033-589f-47bc-8bd1-ed16f4709436/leads#/lead/0790acdd-3444-4d32-bb7a-f928d7534b7c", "0790acdd-3444-4d32-bb7a-f928d7534b7c")</f>
        <v/>
      </c>
      <c r="B51" t="s">
        <v>377</v>
      </c>
      <c r="C51" t="s">
        <v>119</v>
      </c>
      <c r="D51" t="s">
        <v>91</v>
      </c>
      <c r="E51" t="s">
        <v>51</v>
      </c>
      <c r="F51" t="s">
        <v>378</v>
      </c>
      <c r="G51" t="s">
        <v>379</v>
      </c>
      <c r="H51" t="s">
        <v>34</v>
      </c>
      <c r="I51" t="s">
        <v>380</v>
      </c>
      <c r="J51" t="s">
        <v>381</v>
      </c>
      <c r="K51" t="s">
        <v>382</v>
      </c>
      <c r="W51" t="s">
        <v>383</v>
      </c>
      <c r="X51" t="s">
        <v>69</v>
      </c>
      <c r="AE51" t="s">
        <v>87</v>
      </c>
      <c r="AG51" t="s">
        <v>339</v>
      </c>
      <c r="AH51" t="s">
        <v>91</v>
      </c>
      <c r="AM51" t="s">
        <v>384</v>
      </c>
    </row>
    <row r="52" spans="1:52">
      <c r="A52">
        <f>HYPERLINK("https://edge.metroleads.com/companies/0c7e9033-589f-47bc-8bd1-ed16f4709436/leads#/lead/6f37bef4-e50d-40d1-a967-f5bddbcfa0f4", "6f37bef4-e50d-40d1-a967-f5bddbcfa0f4")</f>
        <v/>
      </c>
      <c r="B52" t="s">
        <v>385</v>
      </c>
      <c r="C52" t="s">
        <v>54</v>
      </c>
      <c r="D52" t="s">
        <v>235</v>
      </c>
      <c r="E52" t="s">
        <v>51</v>
      </c>
      <c r="F52" t="s">
        <v>52</v>
      </c>
      <c r="G52" t="s">
        <v>386</v>
      </c>
      <c r="H52" t="s">
        <v>65</v>
      </c>
      <c r="I52" t="s">
        <v>387</v>
      </c>
      <c r="J52" t="s">
        <v>388</v>
      </c>
      <c r="K52" t="s">
        <v>389</v>
      </c>
      <c r="Y52" t="s">
        <v>57</v>
      </c>
      <c r="Z52" t="s">
        <v>83</v>
      </c>
      <c r="AC52" t="s">
        <v>59</v>
      </c>
      <c r="AD52" t="s">
        <v>275</v>
      </c>
      <c r="AG52" t="s">
        <v>61</v>
      </c>
      <c r="AT52" t="s">
        <v>62</v>
      </c>
      <c r="AU52" t="s">
        <v>276</v>
      </c>
    </row>
    <row r="53" spans="1:52">
      <c r="A53">
        <f>HYPERLINK("https://edge.metroleads.com/companies/0c7e9033-589f-47bc-8bd1-ed16f4709436/leads#/lead/44ccd291-8b7e-478b-b571-33b2f81daee3", "44ccd291-8b7e-478b-b571-33b2f81daee3")</f>
        <v/>
      </c>
      <c r="B53" t="s">
        <v>390</v>
      </c>
      <c r="C53" t="s">
        <v>391</v>
      </c>
      <c r="D53" t="s">
        <v>211</v>
      </c>
      <c r="E53" t="s">
        <v>51</v>
      </c>
      <c r="F53" t="s">
        <v>52</v>
      </c>
      <c r="G53" t="s">
        <v>392</v>
      </c>
      <c r="H53" t="s">
        <v>65</v>
      </c>
      <c r="I53" t="s">
        <v>393</v>
      </c>
      <c r="J53" t="s">
        <v>394</v>
      </c>
      <c r="W53" t="s">
        <v>57</v>
      </c>
      <c r="Y53" t="s">
        <v>57</v>
      </c>
      <c r="Z53" t="s">
        <v>83</v>
      </c>
      <c r="AA53" t="s">
        <v>333</v>
      </c>
      <c r="AB53" t="s">
        <v>71</v>
      </c>
      <c r="AC53" t="s">
        <v>59</v>
      </c>
      <c r="AD53" t="s">
        <v>334</v>
      </c>
      <c r="AE53" t="s">
        <v>87</v>
      </c>
      <c r="AG53" t="s">
        <v>242</v>
      </c>
      <c r="AT53" t="s">
        <v>62</v>
      </c>
      <c r="AU53" t="s">
        <v>63</v>
      </c>
    </row>
    <row r="54" spans="1:52">
      <c r="A54">
        <f>HYPERLINK("https://edge.metroleads.com/companies/0c7e9033-589f-47bc-8bd1-ed16f4709436/leads#/lead/639cff87-76d5-4f38-b455-a161c43f5edf", "639cff87-76d5-4f38-b455-a161c43f5edf")</f>
        <v/>
      </c>
      <c r="B54" t="s">
        <v>395</v>
      </c>
      <c r="C54" t="s">
        <v>54</v>
      </c>
      <c r="D54" t="s">
        <v>328</v>
      </c>
      <c r="E54" t="s">
        <v>51</v>
      </c>
      <c r="F54" t="s"/>
      <c r="G54" t="s">
        <v>396</v>
      </c>
      <c r="H54" t="s">
        <v>65</v>
      </c>
      <c r="I54" t="s">
        <v>397</v>
      </c>
      <c r="J54" t="s">
        <v>398</v>
      </c>
      <c r="Q54" t="s">
        <v>399</v>
      </c>
      <c r="W54" t="s">
        <v>400</v>
      </c>
      <c r="X54" t="s">
        <v>57</v>
      </c>
      <c r="Y54" t="s">
        <v>57</v>
      </c>
      <c r="Z54" t="s">
        <v>83</v>
      </c>
      <c r="AA54" t="s">
        <v>333</v>
      </c>
      <c r="AB54" t="s">
        <v>71</v>
      </c>
      <c r="AC54" t="s">
        <v>401</v>
      </c>
      <c r="AD54" t="s">
        <v>334</v>
      </c>
      <c r="AE54" t="s">
        <v>87</v>
      </c>
      <c r="AG54" t="s">
        <v>128</v>
      </c>
      <c r="AH54" t="s">
        <v>328</v>
      </c>
      <c r="AI54" t="s">
        <v>49</v>
      </c>
      <c r="AJ54" t="s">
        <v>402</v>
      </c>
    </row>
    <row r="55" spans="1:52">
      <c r="A55">
        <f>HYPERLINK("https://edge.metroleads.com/companies/0c7e9033-589f-47bc-8bd1-ed16f4709436/leads#/lead/46a3abdc-3195-4ac4-8fe4-371d3725e5cc", "46a3abdc-3195-4ac4-8fe4-371d3725e5cc")</f>
        <v/>
      </c>
      <c r="B55" t="s">
        <v>403</v>
      </c>
      <c r="C55" t="s">
        <v>119</v>
      </c>
      <c r="D55" t="s">
        <v>66</v>
      </c>
      <c r="E55" t="s">
        <v>51</v>
      </c>
      <c r="F55" t="s">
        <v>404</v>
      </c>
      <c r="G55" t="s">
        <v>405</v>
      </c>
      <c r="H55" t="s">
        <v>54</v>
      </c>
      <c r="I55" t="s">
        <v>380</v>
      </c>
      <c r="J55" t="s">
        <v>406</v>
      </c>
      <c r="K55" t="s">
        <v>407</v>
      </c>
      <c r="W55" t="s">
        <v>383</v>
      </c>
      <c r="X55" t="s">
        <v>69</v>
      </c>
      <c r="AE55" t="s">
        <v>87</v>
      </c>
      <c r="AG55" t="s">
        <v>339</v>
      </c>
      <c r="AH55" t="s">
        <v>66</v>
      </c>
    </row>
    <row r="56" spans="1:52">
      <c r="A56">
        <f>HYPERLINK("https://edge.metroleads.com/companies/0c7e9033-589f-47bc-8bd1-ed16f4709436/leads#/lead/b3c5a8de-f9e3-457c-9b86-d7e8c9d2f93c", "b3c5a8de-f9e3-457c-9b86-d7e8c9d2f93c")</f>
        <v/>
      </c>
      <c r="B56" t="s">
        <v>408</v>
      </c>
      <c r="C56" t="s">
        <v>54</v>
      </c>
      <c r="D56" t="s">
        <v>235</v>
      </c>
      <c r="E56" t="s">
        <v>51</v>
      </c>
      <c r="F56" t="s">
        <v>52</v>
      </c>
      <c r="G56" t="s">
        <v>409</v>
      </c>
      <c r="H56" t="s">
        <v>49</v>
      </c>
      <c r="I56" t="s">
        <v>410</v>
      </c>
      <c r="J56" t="s">
        <v>411</v>
      </c>
      <c r="K56" t="s">
        <v>412</v>
      </c>
      <c r="Y56" t="s">
        <v>57</v>
      </c>
      <c r="Z56" t="s">
        <v>58</v>
      </c>
      <c r="AC56" t="s">
        <v>59</v>
      </c>
      <c r="AD56" t="s">
        <v>275</v>
      </c>
      <c r="AG56" t="s">
        <v>264</v>
      </c>
      <c r="AT56" t="s">
        <v>62</v>
      </c>
      <c r="AU56" t="s">
        <v>276</v>
      </c>
    </row>
    <row r="57" spans="1:52">
      <c r="A57">
        <f>HYPERLINK("https://edge.metroleads.com/companies/0c7e9033-589f-47bc-8bd1-ed16f4709436/leads#/lead/76948a18-d25e-4a99-914e-523a9754ac83", "76948a18-d25e-4a99-914e-523a9754ac83")</f>
        <v/>
      </c>
      <c r="B57" t="s">
        <v>413</v>
      </c>
      <c r="C57" t="s">
        <v>65</v>
      </c>
      <c r="D57" t="s">
        <v>91</v>
      </c>
      <c r="E57" t="s">
        <v>51</v>
      </c>
      <c r="F57" t="s">
        <v>161</v>
      </c>
      <c r="G57" t="s">
        <v>414</v>
      </c>
      <c r="H57" t="s"/>
      <c r="I57" t="s"/>
      <c r="J57" t="s">
        <v>415</v>
      </c>
      <c r="X57" t="s">
        <v>69</v>
      </c>
      <c r="Y57" t="s">
        <v>69</v>
      </c>
      <c r="Z57" t="s">
        <v>70</v>
      </c>
      <c r="AC57" t="s">
        <v>164</v>
      </c>
      <c r="AG57" t="s">
        <v>73</v>
      </c>
      <c r="AH57" t="s">
        <v>91</v>
      </c>
      <c r="AT57" t="s">
        <v>62</v>
      </c>
      <c r="AU57" t="s">
        <v>74</v>
      </c>
    </row>
    <row r="58" spans="1:52">
      <c r="A58">
        <f>HYPERLINK("https://edge.metroleads.com/companies/0c7e9033-589f-47bc-8bd1-ed16f4709436/leads#/lead/08f9ec95-90d8-43d9-989e-c5d3e3b44336", "08f9ec95-90d8-43d9-989e-c5d3e3b44336")</f>
        <v/>
      </c>
      <c r="B58" t="s">
        <v>416</v>
      </c>
      <c r="C58" t="s">
        <v>49</v>
      </c>
      <c r="D58" t="s">
        <v>328</v>
      </c>
      <c r="E58" t="s">
        <v>51</v>
      </c>
      <c r="F58" t="s">
        <v>52</v>
      </c>
      <c r="G58" t="s">
        <v>417</v>
      </c>
      <c r="H58" t="s">
        <v>54</v>
      </c>
      <c r="I58" t="s">
        <v>418</v>
      </c>
      <c r="J58" t="s">
        <v>419</v>
      </c>
      <c r="K58" t="s">
        <v>420</v>
      </c>
      <c r="W58" t="s">
        <v>57</v>
      </c>
      <c r="X58" t="s">
        <v>57</v>
      </c>
      <c r="Y58" t="s">
        <v>57</v>
      </c>
      <c r="Z58" t="s">
        <v>58</v>
      </c>
      <c r="AB58" t="s">
        <v>421</v>
      </c>
      <c r="AC58" t="s">
        <v>59</v>
      </c>
      <c r="AD58" t="s">
        <v>275</v>
      </c>
      <c r="AG58" t="s">
        <v>61</v>
      </c>
      <c r="AH58" t="s">
        <v>328</v>
      </c>
      <c r="AI58" t="s">
        <v>54</v>
      </c>
      <c r="AJ58" t="s">
        <v>422</v>
      </c>
      <c r="AT58" t="s">
        <v>62</v>
      </c>
      <c r="AU58" t="s">
        <v>276</v>
      </c>
    </row>
    <row r="59" spans="1:52">
      <c r="A59">
        <f>HYPERLINK("https://edge.metroleads.com/companies/0c7e9033-589f-47bc-8bd1-ed16f4709436/leads#/lead/8a6fc188-e29d-47d8-a477-e9abec64ef37", "8a6fc188-e29d-47d8-a477-e9abec64ef37")</f>
        <v/>
      </c>
      <c r="B59" t="s">
        <v>423</v>
      </c>
      <c r="C59" t="s">
        <v>265</v>
      </c>
      <c r="D59" t="s">
        <v>328</v>
      </c>
      <c r="E59" t="s">
        <v>51</v>
      </c>
      <c r="F59" t="s">
        <v>52</v>
      </c>
      <c r="G59" t="s">
        <v>424</v>
      </c>
      <c r="H59" t="s">
        <v>54</v>
      </c>
      <c r="I59" t="s">
        <v>425</v>
      </c>
      <c r="J59" t="s">
        <v>426</v>
      </c>
      <c r="K59" t="s">
        <v>427</v>
      </c>
      <c r="X59" t="s">
        <v>57</v>
      </c>
      <c r="Y59" t="s">
        <v>57</v>
      </c>
      <c r="Z59" t="s">
        <v>83</v>
      </c>
      <c r="AB59" t="s">
        <v>71</v>
      </c>
      <c r="AC59" t="s">
        <v>149</v>
      </c>
      <c r="AD59" t="s">
        <v>275</v>
      </c>
      <c r="AF59" t="s">
        <v>60</v>
      </c>
      <c r="AG59" t="s">
        <v>428</v>
      </c>
      <c r="AH59" t="s">
        <v>328</v>
      </c>
      <c r="AI59" t="s">
        <v>54</v>
      </c>
      <c r="AM59" t="s">
        <v>233</v>
      </c>
      <c r="AT59" t="s">
        <v>62</v>
      </c>
      <c r="AU59" t="s">
        <v>276</v>
      </c>
      <c r="AZ59" t="s">
        <v>265</v>
      </c>
    </row>
    <row r="60" spans="1:52">
      <c r="A60">
        <f>HYPERLINK("https://edge.metroleads.com/companies/0c7e9033-589f-47bc-8bd1-ed16f4709436/leads#/lead/304b1028-170c-4278-9d78-e2a1f0cd4f07", "304b1028-170c-4278-9d78-e2a1f0cd4f07")</f>
        <v/>
      </c>
      <c r="B60" t="s">
        <v>429</v>
      </c>
      <c r="C60" t="s">
        <v>54</v>
      </c>
      <c r="D60" t="s">
        <v>235</v>
      </c>
      <c r="E60" t="s">
        <v>51</v>
      </c>
      <c r="F60" t="s">
        <v>52</v>
      </c>
      <c r="G60" t="s">
        <v>430</v>
      </c>
      <c r="H60" t="s">
        <v>49</v>
      </c>
      <c r="I60" t="s">
        <v>431</v>
      </c>
      <c r="J60" t="s">
        <v>432</v>
      </c>
      <c r="Y60" t="s">
        <v>57</v>
      </c>
      <c r="Z60" t="s">
        <v>83</v>
      </c>
      <c r="AC60" t="s">
        <v>59</v>
      </c>
      <c r="AG60" t="s">
        <v>150</v>
      </c>
      <c r="AT60" t="s">
        <v>62</v>
      </c>
      <c r="AU60" t="s">
        <v>63</v>
      </c>
      <c r="AZ60" t="s">
        <v>265</v>
      </c>
    </row>
    <row r="61" spans="1:52">
      <c r="A61">
        <f>HYPERLINK("https://edge.metroleads.com/companies/0c7e9033-589f-47bc-8bd1-ed16f4709436/leads#/lead/b31df7c0-0c69-45f2-b500-ae7f7eeaebd5", "b31df7c0-0c69-45f2-b500-ae7f7eeaebd5")</f>
        <v/>
      </c>
      <c r="B61" t="s">
        <v>433</v>
      </c>
      <c r="C61" t="s">
        <v>54</v>
      </c>
      <c r="D61" t="s">
        <v>235</v>
      </c>
      <c r="E61" t="s">
        <v>51</v>
      </c>
      <c r="F61" t="s">
        <v>52</v>
      </c>
      <c r="G61" t="s">
        <v>434</v>
      </c>
      <c r="H61" t="s">
        <v>65</v>
      </c>
      <c r="I61" t="s">
        <v>435</v>
      </c>
      <c r="J61" t="s">
        <v>436</v>
      </c>
      <c r="Y61" t="s">
        <v>57</v>
      </c>
      <c r="Z61" t="s">
        <v>83</v>
      </c>
      <c r="AC61" t="s">
        <v>59</v>
      </c>
      <c r="AG61" t="s">
        <v>150</v>
      </c>
      <c r="AT61" t="s">
        <v>62</v>
      </c>
      <c r="AU61" t="s">
        <v>63</v>
      </c>
    </row>
    <row r="62" spans="1:52">
      <c r="A62">
        <f>HYPERLINK("https://edge.metroleads.com/companies/0c7e9033-589f-47bc-8bd1-ed16f4709436/leads#/lead/91f071e1-7183-4d1d-9f73-2baf529b4f77", "91f071e1-7183-4d1d-9f73-2baf529b4f77")</f>
        <v/>
      </c>
      <c r="B62" t="s">
        <v>437</v>
      </c>
      <c r="C62" t="s">
        <v>65</v>
      </c>
      <c r="D62" t="s">
        <v>363</v>
      </c>
      <c r="E62" t="s">
        <v>51</v>
      </c>
      <c r="F62" t="s">
        <v>161</v>
      </c>
      <c r="G62" t="s">
        <v>438</v>
      </c>
      <c r="H62" t="s"/>
      <c r="I62" t="s"/>
      <c r="J62" t="s">
        <v>439</v>
      </c>
      <c r="Q62" t="s">
        <v>82</v>
      </c>
      <c r="X62" t="s">
        <v>69</v>
      </c>
      <c r="Y62" t="s">
        <v>69</v>
      </c>
      <c r="Z62" t="s">
        <v>83</v>
      </c>
      <c r="AB62" t="s">
        <v>71</v>
      </c>
      <c r="AC62" t="s">
        <v>101</v>
      </c>
      <c r="AG62" t="s">
        <v>128</v>
      </c>
      <c r="AH62" t="s">
        <v>91</v>
      </c>
      <c r="AT62" t="s">
        <v>62</v>
      </c>
      <c r="AU62" t="s">
        <v>74</v>
      </c>
      <c r="AZ62" t="s">
        <v>265</v>
      </c>
    </row>
    <row r="63" spans="1:52">
      <c r="A63">
        <f>HYPERLINK("https://edge.metroleads.com/companies/0c7e9033-589f-47bc-8bd1-ed16f4709436/leads#/lead/1676f90f-7c22-4c34-b93e-5596ec0cf454", "1676f90f-7c22-4c34-b93e-5596ec0cf454")</f>
        <v/>
      </c>
      <c r="B63" t="s">
        <v>440</v>
      </c>
      <c r="C63" t="s">
        <v>65</v>
      </c>
      <c r="D63" t="s">
        <v>363</v>
      </c>
      <c r="E63" t="s">
        <v>51</v>
      </c>
      <c r="F63" t="s">
        <v>161</v>
      </c>
      <c r="G63" t="s">
        <v>441</v>
      </c>
      <c r="H63" t="s"/>
      <c r="I63" t="s"/>
      <c r="J63" t="s">
        <v>442</v>
      </c>
      <c r="K63" t="s">
        <v>443</v>
      </c>
      <c r="Q63" t="s">
        <v>82</v>
      </c>
      <c r="X63" t="s">
        <v>69</v>
      </c>
      <c r="Y63" t="s">
        <v>69</v>
      </c>
      <c r="Z63" t="s">
        <v>83</v>
      </c>
      <c r="AC63" t="s">
        <v>149</v>
      </c>
      <c r="AF63" t="s">
        <v>444</v>
      </c>
      <c r="AG63" t="s">
        <v>61</v>
      </c>
      <c r="AH63" t="s">
        <v>91</v>
      </c>
      <c r="AT63" t="s">
        <v>62</v>
      </c>
      <c r="AU63" t="s">
        <v>74</v>
      </c>
      <c r="AZ63" t="s">
        <v>284</v>
      </c>
    </row>
    <row r="64" spans="1:52">
      <c r="A64">
        <f>HYPERLINK("https://edge.metroleads.com/companies/0c7e9033-589f-47bc-8bd1-ed16f4709436/leads#/lead/4ee1a08b-f435-4350-820a-5eccd05fbfc0", "4ee1a08b-f435-4350-820a-5eccd05fbfc0")</f>
        <v/>
      </c>
      <c r="B64" t="s">
        <v>445</v>
      </c>
      <c r="C64" t="s">
        <v>65</v>
      </c>
      <c r="D64" t="s">
        <v>363</v>
      </c>
      <c r="E64" t="s">
        <v>51</v>
      </c>
      <c r="F64" t="s">
        <v>161</v>
      </c>
      <c r="G64" t="s">
        <v>446</v>
      </c>
      <c r="H64" t="s"/>
      <c r="I64" t="s"/>
      <c r="J64" t="s">
        <v>447</v>
      </c>
      <c r="Q64" t="s">
        <v>82</v>
      </c>
      <c r="X64" t="s">
        <v>69</v>
      </c>
      <c r="Y64" t="s">
        <v>69</v>
      </c>
      <c r="Z64" t="s">
        <v>448</v>
      </c>
      <c r="AB64" t="s">
        <v>71</v>
      </c>
      <c r="AC64" t="s">
        <v>449</v>
      </c>
      <c r="AG64" t="s">
        <v>61</v>
      </c>
      <c r="AH64" t="s">
        <v>66</v>
      </c>
      <c r="AT64" t="s">
        <v>62</v>
      </c>
      <c r="AU64" t="s">
        <v>74</v>
      </c>
      <c r="AZ64" t="s">
        <v>284</v>
      </c>
    </row>
    <row r="65" spans="1:52">
      <c r="A65">
        <f>HYPERLINK("https://edge.metroleads.com/companies/0c7e9033-589f-47bc-8bd1-ed16f4709436/leads#/lead/74003e80-5abb-4d37-9f7a-6be53f239fe6", "74003e80-5abb-4d37-9f7a-6be53f239fe6")</f>
        <v/>
      </c>
      <c r="B65" t="s">
        <v>450</v>
      </c>
      <c r="C65" t="s">
        <v>65</v>
      </c>
      <c r="D65" t="s">
        <v>363</v>
      </c>
      <c r="E65" t="s">
        <v>51</v>
      </c>
      <c r="F65" t="s">
        <v>161</v>
      </c>
      <c r="G65" t="s">
        <v>451</v>
      </c>
      <c r="H65" t="s"/>
      <c r="I65" t="s"/>
      <c r="J65" t="s">
        <v>452</v>
      </c>
      <c r="Q65" t="s">
        <v>82</v>
      </c>
      <c r="X65" t="s">
        <v>69</v>
      </c>
      <c r="Y65" t="s">
        <v>69</v>
      </c>
      <c r="Z65" t="s">
        <v>192</v>
      </c>
      <c r="AB65" t="s">
        <v>71</v>
      </c>
      <c r="AC65" t="s">
        <v>453</v>
      </c>
      <c r="AG65" t="s">
        <v>61</v>
      </c>
      <c r="AH65" t="s">
        <v>66</v>
      </c>
      <c r="AT65" t="s">
        <v>62</v>
      </c>
      <c r="AU65" t="s">
        <v>74</v>
      </c>
      <c r="AZ65" t="s">
        <v>265</v>
      </c>
    </row>
    <row r="66" spans="1:52">
      <c r="A66">
        <f>HYPERLINK("https://edge.metroleads.com/companies/0c7e9033-589f-47bc-8bd1-ed16f4709436/leads#/lead/dde276a1-8ba0-4a87-b2b4-d4787f346e07", "dde276a1-8ba0-4a87-b2b4-d4787f346e07")</f>
        <v/>
      </c>
      <c r="B66" t="s">
        <v>454</v>
      </c>
      <c r="C66" t="s">
        <v>54</v>
      </c>
      <c r="D66" t="s">
        <v>235</v>
      </c>
      <c r="E66" t="s">
        <v>51</v>
      </c>
      <c r="F66" t="s">
        <v>52</v>
      </c>
      <c r="G66" t="s">
        <v>455</v>
      </c>
      <c r="H66" t="s">
        <v>65</v>
      </c>
      <c r="I66" t="s">
        <v>456</v>
      </c>
      <c r="J66" t="s">
        <v>457</v>
      </c>
      <c r="Y66" t="s">
        <v>57</v>
      </c>
      <c r="Z66" t="s">
        <v>83</v>
      </c>
      <c r="AC66" t="s">
        <v>149</v>
      </c>
      <c r="AG66" t="s">
        <v>232</v>
      </c>
      <c r="AT66" t="s">
        <v>62</v>
      </c>
      <c r="AU66" t="s">
        <v>63</v>
      </c>
    </row>
    <row r="67" spans="1:52">
      <c r="A67">
        <f>HYPERLINK("https://edge.metroleads.com/companies/0c7e9033-589f-47bc-8bd1-ed16f4709436/leads#/lead/91c6b8e6-01e7-44e4-a9fe-627888ab0039", "91c6b8e6-01e7-44e4-a9fe-627888ab0039")</f>
        <v/>
      </c>
      <c r="B67" t="s">
        <v>458</v>
      </c>
      <c r="C67" t="s">
        <v>65</v>
      </c>
      <c r="D67" t="s">
        <v>363</v>
      </c>
      <c r="E67" t="s">
        <v>51</v>
      </c>
      <c r="F67" t="s">
        <v>161</v>
      </c>
      <c r="G67" t="s">
        <v>459</v>
      </c>
      <c r="H67" t="s"/>
      <c r="I67" t="s"/>
      <c r="J67" t="s">
        <v>460</v>
      </c>
      <c r="Q67" t="s">
        <v>82</v>
      </c>
      <c r="X67" t="s">
        <v>69</v>
      </c>
      <c r="Y67" t="s">
        <v>69</v>
      </c>
      <c r="Z67" t="s">
        <v>83</v>
      </c>
      <c r="AB67" t="s">
        <v>71</v>
      </c>
      <c r="AC67" t="s">
        <v>59</v>
      </c>
      <c r="AG67" t="s">
        <v>61</v>
      </c>
      <c r="AH67" t="s">
        <v>66</v>
      </c>
      <c r="AT67" t="s">
        <v>62</v>
      </c>
      <c r="AU67" t="s">
        <v>74</v>
      </c>
      <c r="AZ67" t="s">
        <v>284</v>
      </c>
    </row>
    <row r="68" spans="1:52">
      <c r="A68">
        <f>HYPERLINK("https://edge.metroleads.com/companies/0c7e9033-589f-47bc-8bd1-ed16f4709436/leads#/lead/cde8382a-69ac-4d87-9a65-d62a163f0f35", "cde8382a-69ac-4d87-9a65-d62a163f0f35")</f>
        <v/>
      </c>
      <c r="B68" t="s">
        <v>461</v>
      </c>
      <c r="C68" t="s">
        <v>247</v>
      </c>
      <c r="D68" t="s">
        <v>91</v>
      </c>
      <c r="E68" t="s">
        <v>51</v>
      </c>
      <c r="F68" t="s">
        <v>462</v>
      </c>
      <c r="G68" t="s">
        <v>463</v>
      </c>
      <c r="H68" t="s">
        <v>54</v>
      </c>
      <c r="I68" t="s">
        <v>464</v>
      </c>
      <c r="J68" t="s">
        <v>465</v>
      </c>
      <c r="K68" t="s">
        <v>466</v>
      </c>
      <c r="Q68" t="s">
        <v>467</v>
      </c>
      <c r="W68" t="s">
        <v>468</v>
      </c>
      <c r="X68" t="s">
        <v>69</v>
      </c>
      <c r="Y68" t="s">
        <v>69</v>
      </c>
      <c r="Z68" t="s">
        <v>83</v>
      </c>
      <c r="AA68" t="s">
        <v>469</v>
      </c>
      <c r="AB68" t="s">
        <v>421</v>
      </c>
      <c r="AC68" t="s">
        <v>85</v>
      </c>
      <c r="AE68" t="s">
        <v>87</v>
      </c>
      <c r="AG68" t="s">
        <v>61</v>
      </c>
      <c r="AH68" t="s">
        <v>91</v>
      </c>
      <c r="AT68" t="s">
        <v>62</v>
      </c>
      <c r="AU68" t="s">
        <v>74</v>
      </c>
      <c r="AV68" t="s">
        <v>69</v>
      </c>
      <c r="AW68" t="s">
        <v>83</v>
      </c>
      <c r="AX68" t="s">
        <v>453</v>
      </c>
    </row>
    <row r="69" spans="1:52">
      <c r="A69">
        <f>HYPERLINK("https://edge.metroleads.com/companies/0c7e9033-589f-47bc-8bd1-ed16f4709436/leads#/lead/2f0f69ee-157c-4d2b-96dc-ca2068201dfd", "2f0f69ee-157c-4d2b-96dc-ca2068201dfd")</f>
        <v/>
      </c>
      <c r="B69" t="s">
        <v>470</v>
      </c>
      <c r="C69" t="s">
        <v>54</v>
      </c>
      <c r="D69" t="s">
        <v>363</v>
      </c>
      <c r="E69" t="s">
        <v>51</v>
      </c>
      <c r="F69" t="s">
        <v>471</v>
      </c>
      <c r="G69" t="s">
        <v>472</v>
      </c>
      <c r="H69" t="s">
        <v>119</v>
      </c>
      <c r="I69" t="s">
        <v>473</v>
      </c>
      <c r="J69" t="s">
        <v>474</v>
      </c>
      <c r="K69" t="s">
        <v>475</v>
      </c>
      <c r="Q69" t="s">
        <v>82</v>
      </c>
      <c r="W69" t="s">
        <v>69</v>
      </c>
      <c r="X69" t="s">
        <v>69</v>
      </c>
      <c r="Z69" t="s">
        <v>58</v>
      </c>
      <c r="AB69" t="s">
        <v>71</v>
      </c>
      <c r="AC69" t="s">
        <v>185</v>
      </c>
      <c r="AD69" t="s">
        <v>86</v>
      </c>
      <c r="AE69" t="s">
        <v>87</v>
      </c>
      <c r="AG69" t="s">
        <v>264</v>
      </c>
      <c r="AH69" t="s">
        <v>66</v>
      </c>
      <c r="AM69" t="s">
        <v>151</v>
      </c>
      <c r="AZ69" t="s">
        <v>265</v>
      </c>
    </row>
    <row r="70" spans="1:52">
      <c r="A70">
        <f>HYPERLINK("https://edge.metroleads.com/companies/0c7e9033-589f-47bc-8bd1-ed16f4709436/leads#/lead/052cea12-92cc-4954-810a-bb4ece027d2f", "052cea12-92cc-4954-810a-bb4ece027d2f")</f>
        <v/>
      </c>
      <c r="B70" t="s">
        <v>476</v>
      </c>
      <c r="C70" t="s">
        <v>119</v>
      </c>
      <c r="D70" t="s">
        <v>66</v>
      </c>
      <c r="E70" t="s">
        <v>51</v>
      </c>
      <c r="F70" t="s">
        <v>477</v>
      </c>
      <c r="G70" t="s">
        <v>478</v>
      </c>
      <c r="H70" t="s">
        <v>479</v>
      </c>
      <c r="I70" t="s">
        <v>480</v>
      </c>
      <c r="J70" t="s">
        <v>481</v>
      </c>
      <c r="K70" t="s">
        <v>482</v>
      </c>
      <c r="W70" t="s">
        <v>383</v>
      </c>
      <c r="X70" t="s">
        <v>69</v>
      </c>
      <c r="AE70" t="s">
        <v>87</v>
      </c>
      <c r="AG70" t="s">
        <v>304</v>
      </c>
      <c r="AH70" t="s">
        <v>66</v>
      </c>
    </row>
    <row r="71" spans="1:52">
      <c r="A71">
        <f>HYPERLINK("https://edge.metroleads.com/companies/0c7e9033-589f-47bc-8bd1-ed16f4709436/leads#/lead/a4e206fc-5dd9-4151-8077-6172652fed0e", "a4e206fc-5dd9-4151-8077-6172652fed0e")</f>
        <v/>
      </c>
      <c r="B71" t="s">
        <v>483</v>
      </c>
      <c r="C71" t="s">
        <v>34</v>
      </c>
      <c r="D71" t="s">
        <v>484</v>
      </c>
      <c r="E71" t="s">
        <v>51</v>
      </c>
      <c r="F71" t="s">
        <v>103</v>
      </c>
      <c r="G71" t="s">
        <v>485</v>
      </c>
      <c r="H71" t="s">
        <v>119</v>
      </c>
      <c r="I71" t="s">
        <v>486</v>
      </c>
      <c r="J71" t="s">
        <v>487</v>
      </c>
      <c r="Q71" t="s">
        <v>488</v>
      </c>
      <c r="R71" t="s">
        <v>489</v>
      </c>
      <c r="W71" t="s">
        <v>468</v>
      </c>
      <c r="X71" t="s">
        <v>368</v>
      </c>
      <c r="Y71" t="s">
        <v>468</v>
      </c>
      <c r="Z71" t="s">
        <v>490</v>
      </c>
      <c r="AA71" t="s">
        <v>125</v>
      </c>
      <c r="AB71" t="s">
        <v>71</v>
      </c>
      <c r="AC71" t="s">
        <v>491</v>
      </c>
      <c r="AD71" t="s">
        <v>197</v>
      </c>
      <c r="AE71" t="s">
        <v>87</v>
      </c>
      <c r="AG71" t="s">
        <v>492</v>
      </c>
      <c r="AH71" t="s">
        <v>91</v>
      </c>
      <c r="AM71" t="s">
        <v>270</v>
      </c>
      <c r="AZ71" t="s">
        <v>284</v>
      </c>
    </row>
    <row r="72" spans="1:52">
      <c r="A72">
        <f>HYPERLINK("https://edge.metroleads.com/companies/0c7e9033-589f-47bc-8bd1-ed16f4709436/leads#/lead/47c2ce82-ca06-4fe2-9642-341a6bbe8ad4", "47c2ce82-ca06-4fe2-9642-341a6bbe8ad4")</f>
        <v/>
      </c>
      <c r="B72" t="s">
        <v>493</v>
      </c>
      <c r="C72" t="s">
        <v>54</v>
      </c>
      <c r="D72" t="s">
        <v>235</v>
      </c>
      <c r="E72" t="s">
        <v>51</v>
      </c>
      <c r="F72" t="s">
        <v>52</v>
      </c>
      <c r="G72" t="s">
        <v>494</v>
      </c>
      <c r="H72" t="s">
        <v>65</v>
      </c>
      <c r="I72" t="s">
        <v>495</v>
      </c>
      <c r="J72" t="s">
        <v>496</v>
      </c>
      <c r="Y72" t="s">
        <v>57</v>
      </c>
      <c r="Z72" t="s">
        <v>83</v>
      </c>
      <c r="AC72" t="s">
        <v>149</v>
      </c>
      <c r="AG72" t="s">
        <v>264</v>
      </c>
      <c r="AT72" t="s">
        <v>62</v>
      </c>
      <c r="AU72" t="s">
        <v>63</v>
      </c>
    </row>
    <row r="73" spans="1:52">
      <c r="A73">
        <f>HYPERLINK("https://edge.metroleads.com/companies/0c7e9033-589f-47bc-8bd1-ed16f4709436/leads#/lead/a89b3dd7-8fc4-406d-b2ea-94cb83608ed9", "a89b3dd7-8fc4-406d-b2ea-94cb83608ed9")</f>
        <v/>
      </c>
      <c r="B73" t="s">
        <v>497</v>
      </c>
      <c r="C73" t="s">
        <v>65</v>
      </c>
      <c r="D73" t="s">
        <v>91</v>
      </c>
      <c r="E73" t="s">
        <v>51</v>
      </c>
      <c r="F73" t="s">
        <v>161</v>
      </c>
      <c r="G73" t="s">
        <v>498</v>
      </c>
      <c r="H73" t="s"/>
      <c r="I73" t="s"/>
      <c r="J73" t="s">
        <v>499</v>
      </c>
      <c r="Y73" t="s">
        <v>69</v>
      </c>
      <c r="Z73" t="s">
        <v>83</v>
      </c>
      <c r="AC73" t="s">
        <v>72</v>
      </c>
      <c r="AG73" t="s">
        <v>73</v>
      </c>
      <c r="AT73" t="s">
        <v>62</v>
      </c>
      <c r="AU73" t="s">
        <v>74</v>
      </c>
    </row>
    <row r="74" spans="1:52">
      <c r="A74">
        <f>HYPERLINK("https://edge.metroleads.com/companies/0c7e9033-589f-47bc-8bd1-ed16f4709436/leads#/lead/e5fe7a7e-feae-4826-bc1f-72fbd5d5dcec", "e5fe7a7e-feae-4826-bc1f-72fbd5d5dcec")</f>
        <v/>
      </c>
      <c r="B74" t="s">
        <v>500</v>
      </c>
      <c r="C74" t="s">
        <v>65</v>
      </c>
      <c r="D74" t="s">
        <v>501</v>
      </c>
      <c r="E74" t="s">
        <v>51</v>
      </c>
      <c r="F74" t="s">
        <v>502</v>
      </c>
      <c r="G74" t="s">
        <v>503</v>
      </c>
      <c r="H74" t="s">
        <v>49</v>
      </c>
      <c r="I74" t="s">
        <v>504</v>
      </c>
      <c r="J74" t="s">
        <v>505</v>
      </c>
      <c r="Q74" t="s">
        <v>399</v>
      </c>
      <c r="W74" t="s">
        <v>468</v>
      </c>
      <c r="X74" t="s">
        <v>468</v>
      </c>
      <c r="Z74" t="s">
        <v>83</v>
      </c>
      <c r="AA74" t="s">
        <v>370</v>
      </c>
      <c r="AB74" t="s">
        <v>71</v>
      </c>
      <c r="AC74" t="s">
        <v>506</v>
      </c>
      <c r="AD74" t="s">
        <v>197</v>
      </c>
      <c r="AE74" t="s">
        <v>87</v>
      </c>
      <c r="AG74" t="s">
        <v>507</v>
      </c>
      <c r="AH74" t="s">
        <v>501</v>
      </c>
    </row>
    <row r="75" spans="1:52">
      <c r="A75">
        <f>HYPERLINK("https://edge.metroleads.com/companies/0c7e9033-589f-47bc-8bd1-ed16f4709436/leads#/lead/b0a1ec87-a93e-449e-a496-604ca0647707", "b0a1ec87-a93e-449e-a496-604ca0647707")</f>
        <v/>
      </c>
      <c r="B75" t="s">
        <v>508</v>
      </c>
      <c r="C75" t="s">
        <v>65</v>
      </c>
      <c r="D75" t="s">
        <v>363</v>
      </c>
      <c r="E75" t="s">
        <v>51</v>
      </c>
      <c r="F75" t="s">
        <v>131</v>
      </c>
      <c r="G75" t="s">
        <v>509</v>
      </c>
      <c r="H75" t="s">
        <v>49</v>
      </c>
      <c r="I75" t="s">
        <v>510</v>
      </c>
      <c r="J75" t="s">
        <v>511</v>
      </c>
      <c r="K75" t="s">
        <v>512</v>
      </c>
      <c r="Q75" t="s">
        <v>82</v>
      </c>
      <c r="W75" t="s">
        <v>69</v>
      </c>
      <c r="X75" t="s">
        <v>69</v>
      </c>
      <c r="Z75" t="s">
        <v>513</v>
      </c>
      <c r="AB75" t="s">
        <v>71</v>
      </c>
      <c r="AC75" t="s">
        <v>514</v>
      </c>
      <c r="AD75" t="s">
        <v>86</v>
      </c>
      <c r="AG75" t="s">
        <v>150</v>
      </c>
      <c r="AH75" t="s">
        <v>66</v>
      </c>
      <c r="AN75" t="s">
        <v>515</v>
      </c>
      <c r="AO75" t="s">
        <v>516</v>
      </c>
      <c r="AQ75" t="s">
        <v>141</v>
      </c>
      <c r="AZ75" t="s">
        <v>265</v>
      </c>
    </row>
    <row r="76" spans="1:52">
      <c r="A76">
        <f>HYPERLINK("https://edge.metroleads.com/companies/0c7e9033-589f-47bc-8bd1-ed16f4709436/leads#/lead/76798402-419d-46c1-b54f-720c52d8cb38", "76798402-419d-46c1-b54f-720c52d8cb38")</f>
        <v/>
      </c>
      <c r="B76" t="s">
        <v>517</v>
      </c>
      <c r="C76" t="s">
        <v>65</v>
      </c>
      <c r="D76" t="s">
        <v>363</v>
      </c>
      <c r="E76" t="s">
        <v>51</v>
      </c>
      <c r="F76" t="s">
        <v>78</v>
      </c>
      <c r="G76" t="s">
        <v>518</v>
      </c>
      <c r="H76" t="s">
        <v>119</v>
      </c>
      <c r="I76" t="s">
        <v>519</v>
      </c>
      <c r="J76" t="s">
        <v>520</v>
      </c>
      <c r="Q76" t="s">
        <v>82</v>
      </c>
      <c r="W76" t="s">
        <v>69</v>
      </c>
      <c r="X76" t="s">
        <v>69</v>
      </c>
      <c r="Y76" t="s">
        <v>69</v>
      </c>
      <c r="Z76" t="s">
        <v>70</v>
      </c>
      <c r="AA76" t="s">
        <v>84</v>
      </c>
      <c r="AB76" t="s">
        <v>71</v>
      </c>
      <c r="AC76" t="s">
        <v>371</v>
      </c>
      <c r="AD76" t="s">
        <v>197</v>
      </c>
      <c r="AE76" t="s">
        <v>87</v>
      </c>
      <c r="AG76" t="s">
        <v>138</v>
      </c>
      <c r="AH76" t="s">
        <v>66</v>
      </c>
      <c r="AZ76" t="s">
        <v>265</v>
      </c>
    </row>
    <row r="77" spans="1:52">
      <c r="A77">
        <f>HYPERLINK("https://edge.metroleads.com/companies/0c7e9033-589f-47bc-8bd1-ed16f4709436/leads#/lead/096958e1-e95c-4e49-b214-acc7bbeb924d", "096958e1-e95c-4e49-b214-acc7bbeb924d")</f>
        <v/>
      </c>
      <c r="B77" t="s">
        <v>521</v>
      </c>
      <c r="C77" t="s">
        <v>76</v>
      </c>
      <c r="D77" t="s">
        <v>484</v>
      </c>
      <c r="E77" t="s">
        <v>51</v>
      </c>
      <c r="F77" t="s">
        <v>103</v>
      </c>
      <c r="G77" t="s">
        <v>522</v>
      </c>
      <c r="H77" t="s">
        <v>54</v>
      </c>
      <c r="I77" t="s">
        <v>523</v>
      </c>
      <c r="J77" t="s">
        <v>524</v>
      </c>
      <c r="K77" t="s">
        <v>525</v>
      </c>
      <c r="Q77" t="s">
        <v>488</v>
      </c>
      <c r="R77" t="s">
        <v>526</v>
      </c>
      <c r="S77" t="s">
        <v>527</v>
      </c>
      <c r="T77" t="s">
        <v>528</v>
      </c>
      <c r="W77" t="s">
        <v>468</v>
      </c>
      <c r="X77" t="s">
        <v>468</v>
      </c>
      <c r="Y77" t="s">
        <v>468</v>
      </c>
      <c r="Z77" t="s">
        <v>490</v>
      </c>
      <c r="AA77" t="s">
        <v>529</v>
      </c>
      <c r="AB77" t="s">
        <v>71</v>
      </c>
      <c r="AC77" t="s">
        <v>530</v>
      </c>
      <c r="AD77" t="s">
        <v>197</v>
      </c>
      <c r="AE77" t="s">
        <v>87</v>
      </c>
      <c r="AG77" t="s">
        <v>232</v>
      </c>
      <c r="AH77" t="s">
        <v>501</v>
      </c>
      <c r="AI77" t="s">
        <v>54</v>
      </c>
      <c r="AJ77" t="s">
        <v>531</v>
      </c>
      <c r="AZ77" t="s">
        <v>284</v>
      </c>
    </row>
    <row r="78" spans="1:52">
      <c r="A78">
        <f>HYPERLINK("https://edge.metroleads.com/companies/0c7e9033-589f-47bc-8bd1-ed16f4709436/leads#/lead/0efcd6e3-cfcc-4cd6-9ba9-867bc9548c72", "0efcd6e3-cfcc-4cd6-9ba9-867bc9548c72")</f>
        <v/>
      </c>
      <c r="B78" t="s">
        <v>532</v>
      </c>
      <c r="C78" t="s">
        <v>54</v>
      </c>
      <c r="D78" t="s">
        <v>363</v>
      </c>
      <c r="E78" t="s">
        <v>51</v>
      </c>
      <c r="F78" t="s"/>
      <c r="G78" t="s">
        <v>533</v>
      </c>
      <c r="H78" t="s">
        <v>65</v>
      </c>
      <c r="I78" t="s">
        <v>534</v>
      </c>
      <c r="J78" t="s">
        <v>535</v>
      </c>
      <c r="L78" t="s">
        <v>536</v>
      </c>
      <c r="N78" t="s">
        <v>537</v>
      </c>
      <c r="Q78" t="s">
        <v>82</v>
      </c>
      <c r="W78" t="s">
        <v>69</v>
      </c>
      <c r="X78" t="s">
        <v>69</v>
      </c>
      <c r="Y78" t="s">
        <v>69</v>
      </c>
      <c r="Z78" t="s">
        <v>110</v>
      </c>
      <c r="AB78" t="s">
        <v>71</v>
      </c>
      <c r="AC78" t="s">
        <v>85</v>
      </c>
      <c r="AD78" t="s">
        <v>86</v>
      </c>
      <c r="AE78" t="s">
        <v>87</v>
      </c>
      <c r="AG78" t="s">
        <v>159</v>
      </c>
      <c r="AH78" t="s">
        <v>91</v>
      </c>
      <c r="AZ78" t="s">
        <v>265</v>
      </c>
    </row>
    <row r="79" spans="1:52">
      <c r="A79">
        <f>HYPERLINK("https://edge.metroleads.com/companies/0c7e9033-589f-47bc-8bd1-ed16f4709436/leads#/lead/fa976355-015a-413b-891b-7c424580ce6d", "fa976355-015a-413b-891b-7c424580ce6d")</f>
        <v/>
      </c>
      <c r="B79" t="s">
        <v>538</v>
      </c>
      <c r="C79" t="s">
        <v>65</v>
      </c>
      <c r="D79" t="s">
        <v>539</v>
      </c>
      <c r="E79" t="s">
        <v>51</v>
      </c>
      <c r="F79" t="s">
        <v>103</v>
      </c>
      <c r="G79" t="s">
        <v>540</v>
      </c>
      <c r="H79" t="s">
        <v>119</v>
      </c>
      <c r="I79" t="s">
        <v>523</v>
      </c>
      <c r="J79" t="s">
        <v>541</v>
      </c>
      <c r="Q79" t="s">
        <v>52</v>
      </c>
      <c r="R79" t="s">
        <v>542</v>
      </c>
      <c r="S79" t="s">
        <v>543</v>
      </c>
      <c r="T79" t="s">
        <v>544</v>
      </c>
      <c r="W79" t="s">
        <v>124</v>
      </c>
      <c r="X79" t="s">
        <v>124</v>
      </c>
      <c r="Y79" t="s">
        <v>124</v>
      </c>
      <c r="Z79" t="s">
        <v>83</v>
      </c>
      <c r="AA79" t="s">
        <v>333</v>
      </c>
      <c r="AB79" t="s">
        <v>71</v>
      </c>
      <c r="AC79" t="s">
        <v>126</v>
      </c>
      <c r="AD79" t="s">
        <v>127</v>
      </c>
      <c r="AE79" t="s">
        <v>87</v>
      </c>
      <c r="AG79" t="s">
        <v>507</v>
      </c>
      <c r="AH79" t="s">
        <v>539</v>
      </c>
      <c r="AI79" t="s">
        <v>54</v>
      </c>
    </row>
    <row r="80" spans="1:52">
      <c r="A80">
        <f>HYPERLINK("https://edge.metroleads.com/companies/0c7e9033-589f-47bc-8bd1-ed16f4709436/leads#/lead/9acc4dc2-5029-4c21-b0ee-134f8896f924", "9acc4dc2-5029-4c21-b0ee-134f8896f924")</f>
        <v/>
      </c>
      <c r="B80" t="s">
        <v>545</v>
      </c>
      <c r="C80" t="s">
        <v>54</v>
      </c>
      <c r="D80" t="s">
        <v>363</v>
      </c>
      <c r="E80" t="s">
        <v>51</v>
      </c>
      <c r="F80" t="s">
        <v>161</v>
      </c>
      <c r="G80" t="s">
        <v>546</v>
      </c>
      <c r="H80" t="s">
        <v>65</v>
      </c>
      <c r="I80" t="s">
        <v>547</v>
      </c>
      <c r="J80" t="s">
        <v>548</v>
      </c>
      <c r="K80" t="s">
        <v>549</v>
      </c>
      <c r="Q80" t="s">
        <v>82</v>
      </c>
      <c r="Y80" t="s">
        <v>69</v>
      </c>
      <c r="Z80" t="s">
        <v>192</v>
      </c>
      <c r="AB80" t="s">
        <v>71</v>
      </c>
      <c r="AC80" t="s">
        <v>453</v>
      </c>
      <c r="AG80" t="s">
        <v>159</v>
      </c>
      <c r="AT80" t="s">
        <v>62</v>
      </c>
      <c r="AU80" t="s">
        <v>74</v>
      </c>
      <c r="AZ80" t="s">
        <v>265</v>
      </c>
    </row>
    <row r="81" spans="1:52">
      <c r="A81">
        <f>HYPERLINK("https://edge.metroleads.com/companies/0c7e9033-589f-47bc-8bd1-ed16f4709436/leads#/lead/8af9df72-c646-4f79-b70c-e478b42b7a78", "8af9df72-c646-4f79-b70c-e478b42b7a78")</f>
        <v/>
      </c>
      <c r="B81" t="s">
        <v>550</v>
      </c>
      <c r="C81" t="s">
        <v>54</v>
      </c>
      <c r="D81" t="s">
        <v>363</v>
      </c>
      <c r="E81" t="s">
        <v>51</v>
      </c>
      <c r="F81" t="s">
        <v>78</v>
      </c>
      <c r="G81" t="s">
        <v>551</v>
      </c>
      <c r="H81" t="s">
        <v>65</v>
      </c>
      <c r="I81" t="s">
        <v>552</v>
      </c>
      <c r="J81" t="s">
        <v>553</v>
      </c>
      <c r="Q81" t="s">
        <v>82</v>
      </c>
      <c r="W81" t="s">
        <v>69</v>
      </c>
      <c r="X81" t="s">
        <v>69</v>
      </c>
      <c r="Y81" t="s">
        <v>69</v>
      </c>
      <c r="Z81" t="s">
        <v>110</v>
      </c>
      <c r="AA81" t="s">
        <v>370</v>
      </c>
      <c r="AB81" t="s">
        <v>71</v>
      </c>
      <c r="AC81" t="s">
        <v>506</v>
      </c>
      <c r="AD81" t="s">
        <v>86</v>
      </c>
      <c r="AE81" t="s">
        <v>87</v>
      </c>
      <c r="AG81" t="s">
        <v>198</v>
      </c>
      <c r="AH81" t="s">
        <v>91</v>
      </c>
      <c r="AZ81" t="s">
        <v>265</v>
      </c>
    </row>
    <row r="82" spans="1:52">
      <c r="A82">
        <f>HYPERLINK("https://edge.metroleads.com/companies/0c7e9033-589f-47bc-8bd1-ed16f4709436/leads#/lead/6b798b7c-ac58-444b-8e5a-e371701a154b", "6b798b7c-ac58-444b-8e5a-e371701a154b")</f>
        <v/>
      </c>
      <c r="B82" t="s">
        <v>554</v>
      </c>
      <c r="C82" t="s">
        <v>54</v>
      </c>
      <c r="D82" t="s">
        <v>363</v>
      </c>
      <c r="E82" t="s">
        <v>51</v>
      </c>
      <c r="F82" t="s">
        <v>78</v>
      </c>
      <c r="G82" t="s">
        <v>555</v>
      </c>
      <c r="H82" t="s">
        <v>65</v>
      </c>
      <c r="I82" t="s">
        <v>556</v>
      </c>
      <c r="J82" t="s">
        <v>557</v>
      </c>
      <c r="Q82" t="s">
        <v>82</v>
      </c>
      <c r="W82" t="s">
        <v>69</v>
      </c>
      <c r="X82" t="s">
        <v>69</v>
      </c>
      <c r="Y82" t="s">
        <v>69</v>
      </c>
      <c r="Z82" t="s">
        <v>110</v>
      </c>
      <c r="AA82" t="s">
        <v>370</v>
      </c>
      <c r="AB82" t="s">
        <v>71</v>
      </c>
      <c r="AC82" t="s">
        <v>514</v>
      </c>
      <c r="AD82" t="s">
        <v>86</v>
      </c>
      <c r="AE82" t="s">
        <v>87</v>
      </c>
      <c r="AG82" t="s">
        <v>88</v>
      </c>
      <c r="AH82" t="s">
        <v>66</v>
      </c>
      <c r="AI82" t="s">
        <v>54</v>
      </c>
      <c r="AZ82" t="s">
        <v>265</v>
      </c>
    </row>
    <row r="83" spans="1:52">
      <c r="A83">
        <f>HYPERLINK("https://edge.metroleads.com/companies/0c7e9033-589f-47bc-8bd1-ed16f4709436/leads#/lead/b596f0ed-55c4-4909-9db6-9cc9b782c5dc", "b596f0ed-55c4-4909-9db6-9cc9b782c5dc")</f>
        <v/>
      </c>
      <c r="B83" t="s">
        <v>558</v>
      </c>
      <c r="C83" t="s">
        <v>54</v>
      </c>
      <c r="D83" t="s">
        <v>363</v>
      </c>
      <c r="E83" t="s">
        <v>51</v>
      </c>
      <c r="F83" t="s">
        <v>103</v>
      </c>
      <c r="G83" t="s">
        <v>559</v>
      </c>
      <c r="H83" t="s">
        <v>65</v>
      </c>
      <c r="I83" t="s">
        <v>560</v>
      </c>
      <c r="J83" t="s">
        <v>561</v>
      </c>
      <c r="Q83" t="s">
        <v>82</v>
      </c>
      <c r="R83" t="s">
        <v>562</v>
      </c>
      <c r="S83" t="s">
        <v>563</v>
      </c>
      <c r="T83" t="s">
        <v>564</v>
      </c>
      <c r="W83" t="s">
        <v>69</v>
      </c>
      <c r="X83" t="s">
        <v>69</v>
      </c>
      <c r="Z83" t="s">
        <v>83</v>
      </c>
      <c r="AA83" t="s">
        <v>469</v>
      </c>
      <c r="AB83" t="s">
        <v>71</v>
      </c>
      <c r="AC83" t="s">
        <v>371</v>
      </c>
      <c r="AD83" t="s">
        <v>86</v>
      </c>
      <c r="AE83" t="s">
        <v>87</v>
      </c>
      <c r="AG83" t="s">
        <v>565</v>
      </c>
      <c r="AH83" t="s">
        <v>66</v>
      </c>
      <c r="AP83" t="s">
        <v>69</v>
      </c>
      <c r="AZ83" t="s">
        <v>265</v>
      </c>
    </row>
    <row r="84" spans="1:52">
      <c r="A84">
        <f>HYPERLINK("https://edge.metroleads.com/companies/0c7e9033-589f-47bc-8bd1-ed16f4709436/leads#/lead/8ec29c68-b732-4867-b033-097287ed65e5", "8ec29c68-b732-4867-b033-097287ed65e5")</f>
        <v/>
      </c>
      <c r="B84" t="s">
        <v>566</v>
      </c>
      <c r="C84" t="s">
        <v>54</v>
      </c>
      <c r="D84" t="s">
        <v>363</v>
      </c>
      <c r="E84" t="s">
        <v>51</v>
      </c>
      <c r="F84" t="s">
        <v>567</v>
      </c>
      <c r="G84" t="s">
        <v>568</v>
      </c>
      <c r="H84" t="s">
        <v>49</v>
      </c>
      <c r="I84" t="s">
        <v>569</v>
      </c>
      <c r="J84" t="s">
        <v>570</v>
      </c>
      <c r="K84" t="s">
        <v>571</v>
      </c>
      <c r="Q84" t="s">
        <v>82</v>
      </c>
      <c r="W84" t="s">
        <v>136</v>
      </c>
      <c r="X84" t="s">
        <v>69</v>
      </c>
      <c r="Y84" t="s">
        <v>69</v>
      </c>
      <c r="Z84" t="s">
        <v>70</v>
      </c>
      <c r="AA84" t="s">
        <v>529</v>
      </c>
      <c r="AB84" t="s">
        <v>71</v>
      </c>
      <c r="AD84" t="s">
        <v>197</v>
      </c>
      <c r="AE84" t="s">
        <v>87</v>
      </c>
      <c r="AG84" t="s">
        <v>565</v>
      </c>
      <c r="AH84" t="s">
        <v>66</v>
      </c>
      <c r="AN84" t="s">
        <v>515</v>
      </c>
      <c r="AO84" t="s">
        <v>572</v>
      </c>
      <c r="AQ84" t="s">
        <v>573</v>
      </c>
      <c r="AZ84" t="s">
        <v>284</v>
      </c>
    </row>
    <row r="85" spans="1:52">
      <c r="A85">
        <f>HYPERLINK("https://edge.metroleads.com/companies/0c7e9033-589f-47bc-8bd1-ed16f4709436/leads#/lead/2df1dab9-05c3-4d96-90e8-77f5fe889210", "2df1dab9-05c3-4d96-90e8-77f5fe889210")</f>
        <v/>
      </c>
      <c r="B85" t="s">
        <v>574</v>
      </c>
      <c r="C85" t="s">
        <v>54</v>
      </c>
      <c r="D85" t="s">
        <v>363</v>
      </c>
      <c r="E85" t="s">
        <v>51</v>
      </c>
      <c r="F85" t="s">
        <v>78</v>
      </c>
      <c r="G85" t="s">
        <v>575</v>
      </c>
      <c r="H85" t="s">
        <v>76</v>
      </c>
      <c r="I85" t="s">
        <v>576</v>
      </c>
      <c r="J85" t="s">
        <v>577</v>
      </c>
      <c r="Q85" t="s">
        <v>82</v>
      </c>
      <c r="W85" t="s">
        <v>69</v>
      </c>
      <c r="X85" t="s">
        <v>69</v>
      </c>
      <c r="Z85" t="s">
        <v>110</v>
      </c>
      <c r="AA85" t="s">
        <v>111</v>
      </c>
      <c r="AB85" t="s">
        <v>71</v>
      </c>
      <c r="AC85" t="s">
        <v>112</v>
      </c>
      <c r="AD85" t="s">
        <v>86</v>
      </c>
      <c r="AE85" t="s">
        <v>87</v>
      </c>
      <c r="AG85" t="s">
        <v>565</v>
      </c>
      <c r="AH85" t="s">
        <v>66</v>
      </c>
      <c r="AI85" t="s">
        <v>54</v>
      </c>
      <c r="AZ85" t="s">
        <v>265</v>
      </c>
    </row>
    <row r="86" spans="1:52">
      <c r="A86">
        <f>HYPERLINK("https://edge.metroleads.com/companies/0c7e9033-589f-47bc-8bd1-ed16f4709436/leads#/lead/698165fb-a244-4326-b45d-049483e1767a", "698165fb-a244-4326-b45d-049483e1767a")</f>
        <v/>
      </c>
      <c r="B86" t="s">
        <v>578</v>
      </c>
      <c r="C86" t="s">
        <v>54</v>
      </c>
      <c r="D86" t="s">
        <v>363</v>
      </c>
      <c r="E86" t="s">
        <v>51</v>
      </c>
      <c r="F86" t="s">
        <v>78</v>
      </c>
      <c r="G86" t="s">
        <v>579</v>
      </c>
      <c r="H86" t="s">
        <v>65</v>
      </c>
      <c r="I86" t="s">
        <v>580</v>
      </c>
      <c r="J86" t="s">
        <v>581</v>
      </c>
      <c r="Q86" t="s">
        <v>82</v>
      </c>
      <c r="W86" t="s">
        <v>69</v>
      </c>
      <c r="X86" t="s">
        <v>69</v>
      </c>
      <c r="Y86" t="s">
        <v>69</v>
      </c>
      <c r="Z86" t="s">
        <v>110</v>
      </c>
      <c r="AA86" t="s">
        <v>370</v>
      </c>
      <c r="AB86" t="s">
        <v>71</v>
      </c>
      <c r="AC86" t="s">
        <v>506</v>
      </c>
      <c r="AD86" t="s">
        <v>86</v>
      </c>
      <c r="AE86" t="s">
        <v>87</v>
      </c>
      <c r="AG86" t="s">
        <v>565</v>
      </c>
      <c r="AH86" t="s">
        <v>66</v>
      </c>
      <c r="AI86" t="s">
        <v>54</v>
      </c>
      <c r="AZ86" t="s">
        <v>265</v>
      </c>
    </row>
    <row r="87" spans="1:52">
      <c r="A87">
        <f>HYPERLINK("https://edge.metroleads.com/companies/0c7e9033-589f-47bc-8bd1-ed16f4709436/leads#/lead/a52b92b6-8145-4d56-b51f-64e6246b23c4", "a52b92b6-8145-4d56-b51f-64e6246b23c4")</f>
        <v/>
      </c>
      <c r="B87" t="s">
        <v>582</v>
      </c>
      <c r="C87" t="s">
        <v>54</v>
      </c>
      <c r="D87" t="s">
        <v>363</v>
      </c>
      <c r="E87" t="s">
        <v>51</v>
      </c>
      <c r="F87" t="s">
        <v>329</v>
      </c>
      <c r="G87" t="s">
        <v>583</v>
      </c>
      <c r="H87" t="s">
        <v>49</v>
      </c>
      <c r="I87" t="s">
        <v>584</v>
      </c>
      <c r="J87" t="s">
        <v>585</v>
      </c>
      <c r="Q87" t="s">
        <v>82</v>
      </c>
      <c r="R87" t="s">
        <v>586</v>
      </c>
      <c r="S87" t="s">
        <v>587</v>
      </c>
      <c r="T87" t="s">
        <v>588</v>
      </c>
      <c r="W87" t="s">
        <v>69</v>
      </c>
      <c r="X87" t="s">
        <v>69</v>
      </c>
      <c r="Y87" t="s">
        <v>69</v>
      </c>
      <c r="Z87" t="s">
        <v>203</v>
      </c>
      <c r="AA87" t="s">
        <v>84</v>
      </c>
      <c r="AB87" t="s">
        <v>71</v>
      </c>
      <c r="AC87" t="s">
        <v>589</v>
      </c>
      <c r="AE87" t="s">
        <v>87</v>
      </c>
      <c r="AG87" t="s">
        <v>88</v>
      </c>
      <c r="AH87" t="s">
        <v>66</v>
      </c>
      <c r="AI87" t="s">
        <v>54</v>
      </c>
      <c r="AZ87" t="s">
        <v>265</v>
      </c>
    </row>
    <row r="88" spans="1:52">
      <c r="A88">
        <f>HYPERLINK("https://edge.metroleads.com/companies/0c7e9033-589f-47bc-8bd1-ed16f4709436/leads#/lead/54698743-2763-4cac-9451-3c0ac4acd70f", "54698743-2763-4cac-9451-3c0ac4acd70f")</f>
        <v/>
      </c>
      <c r="B88" t="s">
        <v>590</v>
      </c>
      <c r="C88" t="s">
        <v>34</v>
      </c>
      <c r="D88" t="s">
        <v>484</v>
      </c>
      <c r="E88" t="s">
        <v>51</v>
      </c>
      <c r="F88" t="s">
        <v>103</v>
      </c>
      <c r="G88" t="s">
        <v>591</v>
      </c>
      <c r="H88" t="s">
        <v>65</v>
      </c>
      <c r="I88" t="s">
        <v>592</v>
      </c>
      <c r="J88" t="s">
        <v>593</v>
      </c>
      <c r="Q88" t="s">
        <v>488</v>
      </c>
      <c r="R88" t="s">
        <v>594</v>
      </c>
      <c r="S88" t="s">
        <v>595</v>
      </c>
      <c r="T88" t="s">
        <v>596</v>
      </c>
      <c r="W88" t="s">
        <v>468</v>
      </c>
      <c r="X88" t="s">
        <v>468</v>
      </c>
      <c r="Y88" t="s">
        <v>468</v>
      </c>
      <c r="Z88" t="s">
        <v>83</v>
      </c>
      <c r="AA88" t="s">
        <v>111</v>
      </c>
      <c r="AB88" t="s">
        <v>71</v>
      </c>
      <c r="AC88" t="s">
        <v>112</v>
      </c>
      <c r="AD88" t="s">
        <v>197</v>
      </c>
      <c r="AE88" t="s">
        <v>87</v>
      </c>
      <c r="AG88" t="s">
        <v>597</v>
      </c>
      <c r="AH88" t="s">
        <v>501</v>
      </c>
      <c r="AI88" t="s">
        <v>54</v>
      </c>
      <c r="AJ88" t="s">
        <v>598</v>
      </c>
      <c r="AM88" t="s">
        <v>270</v>
      </c>
      <c r="AZ88" t="s">
        <v>284</v>
      </c>
    </row>
    <row r="89" spans="1:52">
      <c r="A89">
        <f>HYPERLINK("https://edge.metroleads.com/companies/0c7e9033-589f-47bc-8bd1-ed16f4709436/leads#/lead/944cb579-e896-4c0c-88ad-50d8cbb3f6da", "944cb579-e896-4c0c-88ad-50d8cbb3f6da")</f>
        <v/>
      </c>
      <c r="B89" t="s">
        <v>599</v>
      </c>
      <c r="C89" t="s">
        <v>54</v>
      </c>
      <c r="D89" t="s">
        <v>363</v>
      </c>
      <c r="E89" t="s">
        <v>51</v>
      </c>
      <c r="F89" t="s">
        <v>78</v>
      </c>
      <c r="G89" t="s">
        <v>600</v>
      </c>
      <c r="H89" t="s">
        <v>65</v>
      </c>
      <c r="I89" t="s">
        <v>601</v>
      </c>
      <c r="J89" t="s">
        <v>602</v>
      </c>
      <c r="Q89" t="s">
        <v>82</v>
      </c>
      <c r="W89" t="s">
        <v>69</v>
      </c>
      <c r="X89" t="s">
        <v>69</v>
      </c>
      <c r="Y89" t="s">
        <v>69</v>
      </c>
      <c r="Z89" t="s">
        <v>110</v>
      </c>
      <c r="AA89" t="s">
        <v>370</v>
      </c>
      <c r="AB89" t="s">
        <v>71</v>
      </c>
      <c r="AC89" t="s">
        <v>514</v>
      </c>
      <c r="AD89" t="s">
        <v>86</v>
      </c>
      <c r="AE89" t="s">
        <v>87</v>
      </c>
      <c r="AG89" t="s">
        <v>138</v>
      </c>
      <c r="AH89" t="s">
        <v>66</v>
      </c>
      <c r="AO89" t="s">
        <v>603</v>
      </c>
      <c r="AP89" t="s">
        <v>69</v>
      </c>
      <c r="AZ89" t="s">
        <v>265</v>
      </c>
    </row>
    <row r="90" spans="1:52">
      <c r="A90">
        <f>HYPERLINK("https://edge.metroleads.com/companies/0c7e9033-589f-47bc-8bd1-ed16f4709436/leads#/lead/f6f8a45b-bf98-422a-8c30-3d51305e8833", "f6f8a45b-bf98-422a-8c30-3d51305e8833")</f>
        <v/>
      </c>
      <c r="B90" t="s">
        <v>604</v>
      </c>
      <c r="C90" t="s">
        <v>54</v>
      </c>
      <c r="D90" t="s">
        <v>363</v>
      </c>
      <c r="E90" t="s">
        <v>51</v>
      </c>
      <c r="F90" t="s">
        <v>78</v>
      </c>
      <c r="G90" t="s">
        <v>605</v>
      </c>
      <c r="H90" t="s">
        <v>65</v>
      </c>
      <c r="I90" t="s">
        <v>580</v>
      </c>
      <c r="J90" t="s">
        <v>606</v>
      </c>
      <c r="Q90" t="s">
        <v>82</v>
      </c>
      <c r="W90" t="s">
        <v>69</v>
      </c>
      <c r="X90" t="s">
        <v>69</v>
      </c>
      <c r="Y90" t="s">
        <v>69</v>
      </c>
      <c r="Z90" t="s">
        <v>83</v>
      </c>
      <c r="AA90" t="s">
        <v>125</v>
      </c>
      <c r="AB90" t="s">
        <v>71</v>
      </c>
      <c r="AC90" t="s">
        <v>589</v>
      </c>
      <c r="AD90" t="s">
        <v>86</v>
      </c>
      <c r="AE90" t="s">
        <v>87</v>
      </c>
      <c r="AG90" t="s">
        <v>565</v>
      </c>
      <c r="AH90" t="s">
        <v>66</v>
      </c>
      <c r="AI90" t="s">
        <v>54</v>
      </c>
      <c r="AZ90" t="s">
        <v>265</v>
      </c>
    </row>
    <row r="91" spans="1:52">
      <c r="A91">
        <f>HYPERLINK("https://edge.metroleads.com/companies/0c7e9033-589f-47bc-8bd1-ed16f4709436/leads#/lead/de3f7536-64ea-4453-ba6f-b65d95c267fb", "de3f7536-64ea-4453-ba6f-b65d95c267fb")</f>
        <v/>
      </c>
      <c r="B91" t="s">
        <v>607</v>
      </c>
      <c r="C91" t="s">
        <v>54</v>
      </c>
      <c r="D91" t="s">
        <v>363</v>
      </c>
      <c r="E91" t="s">
        <v>51</v>
      </c>
      <c r="F91" t="s">
        <v>78</v>
      </c>
      <c r="G91" t="s">
        <v>608</v>
      </c>
      <c r="H91" t="s">
        <v>65</v>
      </c>
      <c r="I91" t="s">
        <v>609</v>
      </c>
      <c r="J91" t="s">
        <v>610</v>
      </c>
      <c r="Q91" t="s">
        <v>82</v>
      </c>
      <c r="W91" t="s">
        <v>69</v>
      </c>
      <c r="X91" t="s">
        <v>69</v>
      </c>
      <c r="Y91" t="s">
        <v>69</v>
      </c>
      <c r="Z91" t="s">
        <v>222</v>
      </c>
      <c r="AA91" t="s">
        <v>333</v>
      </c>
      <c r="AB91" t="s">
        <v>71</v>
      </c>
      <c r="AC91" t="s">
        <v>611</v>
      </c>
      <c r="AD91" t="s">
        <v>86</v>
      </c>
      <c r="AE91" t="s">
        <v>87</v>
      </c>
      <c r="AG91" t="s">
        <v>565</v>
      </c>
      <c r="AH91" t="s">
        <v>66</v>
      </c>
      <c r="AI91" t="s">
        <v>54</v>
      </c>
      <c r="AZ91" t="s">
        <v>265</v>
      </c>
    </row>
    <row r="92" spans="1:52">
      <c r="A92">
        <f>HYPERLINK("https://edge.metroleads.com/companies/0c7e9033-589f-47bc-8bd1-ed16f4709436/leads#/lead/007733ff-28c1-44a3-98f3-db19da36cd19", "007733ff-28c1-44a3-98f3-db19da36cd19")</f>
        <v/>
      </c>
      <c r="B92" t="s">
        <v>612</v>
      </c>
      <c r="C92" t="s">
        <v>65</v>
      </c>
      <c r="D92" t="s">
        <v>244</v>
      </c>
      <c r="E92" t="s">
        <v>51</v>
      </c>
      <c r="F92" t="s">
        <v>52</v>
      </c>
      <c r="G92" t="s">
        <v>613</v>
      </c>
      <c r="H92" t="s"/>
      <c r="I92" t="s"/>
      <c r="J92" t="s">
        <v>614</v>
      </c>
      <c r="Y92" t="s">
        <v>57</v>
      </c>
      <c r="Z92" t="s">
        <v>83</v>
      </c>
      <c r="AC92" t="s">
        <v>149</v>
      </c>
      <c r="AG92" t="s">
        <v>507</v>
      </c>
      <c r="AT92" t="s">
        <v>62</v>
      </c>
      <c r="AU92" t="s">
        <v>63</v>
      </c>
    </row>
    <row r="93" spans="1:52">
      <c r="A93">
        <f>HYPERLINK("https://edge.metroleads.com/companies/0c7e9033-589f-47bc-8bd1-ed16f4709436/leads#/lead/bc3b9a51-45b8-4db3-a017-2cc487e4f0e9", "bc3b9a51-45b8-4db3-a017-2cc487e4f0e9")</f>
        <v/>
      </c>
      <c r="B93" t="s">
        <v>615</v>
      </c>
      <c r="C93" t="s">
        <v>34</v>
      </c>
      <c r="D93" t="s">
        <v>363</v>
      </c>
      <c r="E93" t="s">
        <v>51</v>
      </c>
      <c r="F93" t="s">
        <v>329</v>
      </c>
      <c r="G93" t="s">
        <v>616</v>
      </c>
      <c r="H93" t="s">
        <v>49</v>
      </c>
      <c r="I93" t="s">
        <v>617</v>
      </c>
      <c r="J93" t="s">
        <v>618</v>
      </c>
      <c r="Q93" t="s">
        <v>82</v>
      </c>
      <c r="W93" t="s">
        <v>69</v>
      </c>
      <c r="X93" t="s">
        <v>69</v>
      </c>
      <c r="Y93" t="s">
        <v>468</v>
      </c>
      <c r="Z93" t="s">
        <v>70</v>
      </c>
      <c r="AG93" t="s">
        <v>61</v>
      </c>
      <c r="AH93" t="s">
        <v>91</v>
      </c>
      <c r="AM93" t="s">
        <v>619</v>
      </c>
      <c r="AN93" t="s">
        <v>515</v>
      </c>
      <c r="AZ93" t="s">
        <v>265</v>
      </c>
    </row>
    <row r="94" spans="1:52">
      <c r="A94">
        <f>HYPERLINK("https://edge.metroleads.com/companies/0c7e9033-589f-47bc-8bd1-ed16f4709436/leads#/lead/9a84f5bd-95dc-4ff2-8e72-f3b85a69d2f4", "9a84f5bd-95dc-4ff2-8e72-f3b85a69d2f4")</f>
        <v/>
      </c>
      <c r="B94" t="s">
        <v>620</v>
      </c>
      <c r="C94" t="s">
        <v>65</v>
      </c>
      <c r="D94" t="s">
        <v>484</v>
      </c>
      <c r="E94" t="s">
        <v>51</v>
      </c>
      <c r="F94" t="s">
        <v>621</v>
      </c>
      <c r="G94" t="s">
        <v>622</v>
      </c>
      <c r="H94" t="s">
        <v>49</v>
      </c>
      <c r="I94" t="s">
        <v>623</v>
      </c>
      <c r="J94" t="s">
        <v>624</v>
      </c>
      <c r="K94" t="s">
        <v>625</v>
      </c>
      <c r="Q94" t="s">
        <v>488</v>
      </c>
      <c r="W94" t="s">
        <v>468</v>
      </c>
      <c r="X94" t="s">
        <v>468</v>
      </c>
      <c r="Y94" t="s">
        <v>468</v>
      </c>
      <c r="Z94" t="s">
        <v>83</v>
      </c>
      <c r="AA94" t="s">
        <v>370</v>
      </c>
      <c r="AB94" t="s">
        <v>71</v>
      </c>
      <c r="AC94" t="s">
        <v>626</v>
      </c>
      <c r="AD94" t="s">
        <v>197</v>
      </c>
      <c r="AE94" t="s">
        <v>87</v>
      </c>
      <c r="AG94" t="s">
        <v>492</v>
      </c>
      <c r="AH94" t="s">
        <v>627</v>
      </c>
      <c r="AN94" t="s">
        <v>515</v>
      </c>
      <c r="AO94" t="s">
        <v>573</v>
      </c>
      <c r="AQ94" t="s">
        <v>573</v>
      </c>
      <c r="AZ94" t="s">
        <v>265</v>
      </c>
    </row>
    <row r="95" spans="1:52">
      <c r="A95">
        <f>HYPERLINK("https://edge.metroleads.com/companies/0c7e9033-589f-47bc-8bd1-ed16f4709436/leads#/lead/53354320-7827-4f87-bbf4-e42a1ecd73e7", "53354320-7827-4f87-bbf4-e42a1ecd73e7")</f>
        <v/>
      </c>
      <c r="B95" t="s">
        <v>628</v>
      </c>
      <c r="C95" t="s">
        <v>65</v>
      </c>
      <c r="D95" t="s">
        <v>363</v>
      </c>
      <c r="E95" t="s">
        <v>51</v>
      </c>
      <c r="F95" t="s">
        <v>329</v>
      </c>
      <c r="G95" t="s">
        <v>629</v>
      </c>
      <c r="H95" t="s">
        <v>49</v>
      </c>
      <c r="I95" t="s">
        <v>630</v>
      </c>
      <c r="J95" t="s">
        <v>631</v>
      </c>
      <c r="Q95" t="s">
        <v>82</v>
      </c>
      <c r="W95" t="s">
        <v>69</v>
      </c>
      <c r="X95" t="s">
        <v>69</v>
      </c>
      <c r="Z95" t="s">
        <v>83</v>
      </c>
      <c r="AA95" t="s">
        <v>84</v>
      </c>
      <c r="AB95" t="s">
        <v>71</v>
      </c>
      <c r="AC95" t="s">
        <v>589</v>
      </c>
      <c r="AD95" t="s">
        <v>86</v>
      </c>
      <c r="AE95" t="s">
        <v>87</v>
      </c>
      <c r="AG95" t="s">
        <v>128</v>
      </c>
      <c r="AH95" t="s">
        <v>91</v>
      </c>
      <c r="AM95" t="s">
        <v>89</v>
      </c>
      <c r="AZ95" t="s">
        <v>265</v>
      </c>
    </row>
    <row r="96" spans="1:52">
      <c r="A96">
        <f>HYPERLINK("https://edge.metroleads.com/companies/0c7e9033-589f-47bc-8bd1-ed16f4709436/leads#/lead/4e888bcb-62fc-404a-8786-ca362fe905e8", "4e888bcb-62fc-404a-8786-ca362fe905e8")</f>
        <v/>
      </c>
      <c r="B96" t="s">
        <v>632</v>
      </c>
      <c r="C96" t="s">
        <v>54</v>
      </c>
      <c r="D96" t="s">
        <v>539</v>
      </c>
      <c r="E96" t="s">
        <v>51</v>
      </c>
      <c r="F96" t="s">
        <v>78</v>
      </c>
      <c r="G96" t="s">
        <v>633</v>
      </c>
      <c r="H96" t="s">
        <v>65</v>
      </c>
      <c r="I96" t="s">
        <v>634</v>
      </c>
      <c r="J96" t="s">
        <v>635</v>
      </c>
      <c r="W96" t="s">
        <v>124</v>
      </c>
      <c r="X96" t="s">
        <v>124</v>
      </c>
      <c r="Y96" t="s">
        <v>124</v>
      </c>
      <c r="Z96" t="s">
        <v>83</v>
      </c>
      <c r="AA96" t="s">
        <v>125</v>
      </c>
      <c r="AB96" t="s">
        <v>71</v>
      </c>
      <c r="AC96" t="s">
        <v>126</v>
      </c>
      <c r="AD96" t="s">
        <v>127</v>
      </c>
      <c r="AE96" t="s">
        <v>87</v>
      </c>
      <c r="AG96" t="s">
        <v>242</v>
      </c>
      <c r="AI96" t="s">
        <v>54</v>
      </c>
      <c r="AY96" t="s">
        <v>636</v>
      </c>
      <c r="AZ96" t="s">
        <v>284</v>
      </c>
    </row>
    <row r="97" spans="1:52">
      <c r="A97">
        <f>HYPERLINK("https://edge.metroleads.com/companies/0c7e9033-589f-47bc-8bd1-ed16f4709436/leads#/lead/3d53fc03-eb18-45dc-a3c4-224a1952c179", "3d53fc03-eb18-45dc-a3c4-224a1952c179")</f>
        <v/>
      </c>
      <c r="B97" t="s">
        <v>637</v>
      </c>
      <c r="C97" t="s">
        <v>65</v>
      </c>
      <c r="D97" t="s">
        <v>363</v>
      </c>
      <c r="E97" t="s">
        <v>51</v>
      </c>
      <c r="F97" t="s">
        <v>161</v>
      </c>
      <c r="G97" t="s">
        <v>638</v>
      </c>
      <c r="H97" t="s"/>
      <c r="I97" t="s"/>
      <c r="J97" t="s">
        <v>639</v>
      </c>
      <c r="Q97" t="s">
        <v>82</v>
      </c>
      <c r="Y97" t="s">
        <v>69</v>
      </c>
      <c r="Z97" t="s">
        <v>83</v>
      </c>
      <c r="AC97" t="s">
        <v>149</v>
      </c>
      <c r="AG97" t="s">
        <v>128</v>
      </c>
      <c r="AT97" t="s">
        <v>62</v>
      </c>
      <c r="AU97" t="s">
        <v>74</v>
      </c>
      <c r="AZ97" t="s">
        <v>284</v>
      </c>
    </row>
    <row r="98" spans="1:52">
      <c r="A98">
        <f>HYPERLINK("https://edge.metroleads.com/companies/0c7e9033-589f-47bc-8bd1-ed16f4709436/leads#/lead/2244bb53-3a72-458a-a78b-c4b9e5b2bffb", "2244bb53-3a72-458a-a78b-c4b9e5b2bffb")</f>
        <v/>
      </c>
      <c r="B98" t="s">
        <v>640</v>
      </c>
      <c r="C98" t="s">
        <v>34</v>
      </c>
      <c r="D98" t="s">
        <v>363</v>
      </c>
      <c r="E98" t="s">
        <v>51</v>
      </c>
      <c r="F98" t="s">
        <v>78</v>
      </c>
      <c r="G98" t="s">
        <v>641</v>
      </c>
      <c r="H98" t="s">
        <v>65</v>
      </c>
      <c r="I98" t="s">
        <v>642</v>
      </c>
      <c r="J98" t="s">
        <v>643</v>
      </c>
      <c r="Q98" t="s">
        <v>82</v>
      </c>
      <c r="W98" t="s">
        <v>69</v>
      </c>
      <c r="X98" t="s">
        <v>69</v>
      </c>
      <c r="Y98" t="s">
        <v>69</v>
      </c>
      <c r="Z98" t="s">
        <v>110</v>
      </c>
      <c r="AA98" t="s">
        <v>111</v>
      </c>
      <c r="AB98" t="s">
        <v>71</v>
      </c>
      <c r="AC98" t="s">
        <v>506</v>
      </c>
      <c r="AD98" t="s">
        <v>197</v>
      </c>
      <c r="AE98" t="s">
        <v>87</v>
      </c>
      <c r="AG98" t="s">
        <v>88</v>
      </c>
      <c r="AH98" t="s">
        <v>66</v>
      </c>
      <c r="AI98" t="s">
        <v>54</v>
      </c>
      <c r="AM98" t="s">
        <v>270</v>
      </c>
      <c r="AZ98" t="s">
        <v>284</v>
      </c>
    </row>
    <row r="99" spans="1:52">
      <c r="A99">
        <f>HYPERLINK("https://edge.metroleads.com/companies/0c7e9033-589f-47bc-8bd1-ed16f4709436/leads#/lead/f97c19ce-4a26-418d-908b-90bb14d72cf7", "f97c19ce-4a26-418d-908b-90bb14d72cf7")</f>
        <v/>
      </c>
      <c r="B99" t="s">
        <v>644</v>
      </c>
      <c r="C99" t="s">
        <v>65</v>
      </c>
      <c r="D99" t="s">
        <v>484</v>
      </c>
      <c r="E99" t="s">
        <v>51</v>
      </c>
      <c r="F99" t="s">
        <v>78</v>
      </c>
      <c r="G99" t="s">
        <v>645</v>
      </c>
      <c r="H99" t="s">
        <v>119</v>
      </c>
      <c r="I99" t="s">
        <v>646</v>
      </c>
      <c r="J99" t="s">
        <v>647</v>
      </c>
      <c r="Q99" t="s">
        <v>488</v>
      </c>
      <c r="W99" t="s">
        <v>468</v>
      </c>
      <c r="X99" t="s">
        <v>468</v>
      </c>
      <c r="Y99" t="s">
        <v>468</v>
      </c>
      <c r="Z99" t="s">
        <v>83</v>
      </c>
      <c r="AA99" t="s">
        <v>648</v>
      </c>
      <c r="AB99" t="s">
        <v>71</v>
      </c>
      <c r="AC99" t="s">
        <v>649</v>
      </c>
      <c r="AD99" t="s">
        <v>197</v>
      </c>
      <c r="AE99" t="s">
        <v>87</v>
      </c>
      <c r="AG99" t="s">
        <v>565</v>
      </c>
      <c r="AH99" t="s">
        <v>501</v>
      </c>
      <c r="AI99" t="s">
        <v>49</v>
      </c>
      <c r="AJ99" t="s">
        <v>650</v>
      </c>
      <c r="AZ99" t="s">
        <v>284</v>
      </c>
    </row>
    <row r="100" spans="1:52">
      <c r="A100">
        <f>HYPERLINK("https://edge.metroleads.com/companies/0c7e9033-589f-47bc-8bd1-ed16f4709436/leads#/lead/a6638fe0-954a-4d2e-9867-d37cfe552d2d", "a6638fe0-954a-4d2e-9867-d37cfe552d2d")</f>
        <v/>
      </c>
      <c r="B100" t="s">
        <v>651</v>
      </c>
      <c r="C100" t="s">
        <v>65</v>
      </c>
      <c r="D100" t="s">
        <v>539</v>
      </c>
      <c r="E100" t="s">
        <v>51</v>
      </c>
      <c r="F100" t="s">
        <v>103</v>
      </c>
      <c r="G100" t="s">
        <v>652</v>
      </c>
      <c r="H100" t="s">
        <v>119</v>
      </c>
      <c r="I100" t="s">
        <v>653</v>
      </c>
      <c r="J100" t="s">
        <v>654</v>
      </c>
      <c r="Q100" t="s">
        <v>52</v>
      </c>
      <c r="R100" t="s">
        <v>655</v>
      </c>
      <c r="S100" t="s">
        <v>656</v>
      </c>
      <c r="T100" t="s">
        <v>657</v>
      </c>
      <c r="W100" t="s">
        <v>124</v>
      </c>
      <c r="X100" t="s">
        <v>124</v>
      </c>
      <c r="Y100" t="s">
        <v>124</v>
      </c>
      <c r="Z100" t="s">
        <v>58</v>
      </c>
      <c r="AA100" t="s">
        <v>254</v>
      </c>
      <c r="AB100" t="s">
        <v>71</v>
      </c>
      <c r="AC100" t="s">
        <v>658</v>
      </c>
      <c r="AD100" t="s">
        <v>127</v>
      </c>
      <c r="AE100" t="s">
        <v>87</v>
      </c>
      <c r="AG100" t="s">
        <v>242</v>
      </c>
      <c r="AH100" t="s">
        <v>539</v>
      </c>
      <c r="AI100" t="s">
        <v>54</v>
      </c>
      <c r="AY100" t="s">
        <v>659</v>
      </c>
    </row>
    <row r="101" spans="1:52">
      <c r="A101">
        <f>HYPERLINK("https://edge.metroleads.com/companies/0c7e9033-589f-47bc-8bd1-ed16f4709436/leads#/lead/90450af4-c0eb-4e42-939d-995f3833b612", "90450af4-c0eb-4e42-939d-995f3833b612")</f>
        <v/>
      </c>
      <c r="B101" t="s">
        <v>660</v>
      </c>
      <c r="C101" t="s">
        <v>65</v>
      </c>
      <c r="D101" t="s">
        <v>484</v>
      </c>
      <c r="E101" t="s">
        <v>51</v>
      </c>
      <c r="F101" t="s">
        <v>103</v>
      </c>
      <c r="G101" t="s">
        <v>661</v>
      </c>
      <c r="H101" t="s">
        <v>119</v>
      </c>
      <c r="I101" t="s">
        <v>662</v>
      </c>
      <c r="J101" t="s">
        <v>663</v>
      </c>
      <c r="Q101" t="s">
        <v>488</v>
      </c>
      <c r="R101" t="s">
        <v>664</v>
      </c>
      <c r="S101" t="s">
        <v>665</v>
      </c>
      <c r="W101" t="s">
        <v>468</v>
      </c>
      <c r="X101" t="s">
        <v>468</v>
      </c>
      <c r="Y101" t="s">
        <v>468</v>
      </c>
      <c r="Z101" t="s">
        <v>83</v>
      </c>
      <c r="AA101" t="s">
        <v>529</v>
      </c>
      <c r="AB101" t="s">
        <v>71</v>
      </c>
      <c r="AC101" t="s">
        <v>371</v>
      </c>
      <c r="AD101" t="s">
        <v>197</v>
      </c>
      <c r="AE101" t="s">
        <v>87</v>
      </c>
      <c r="AG101" t="s">
        <v>565</v>
      </c>
      <c r="AH101" t="s">
        <v>501</v>
      </c>
      <c r="AI101" t="s">
        <v>54</v>
      </c>
      <c r="AZ101" t="s">
        <v>265</v>
      </c>
    </row>
    <row r="102" spans="1:52">
      <c r="A102">
        <f>HYPERLINK("https://edge.metroleads.com/companies/0c7e9033-589f-47bc-8bd1-ed16f4709436/leads#/lead/ddde0864-6d88-4107-94b5-6d34c1acabba", "ddde0864-6d88-4107-94b5-6d34c1acabba")</f>
        <v/>
      </c>
      <c r="B102" t="s">
        <v>666</v>
      </c>
      <c r="C102" t="s">
        <v>65</v>
      </c>
      <c r="D102" t="s">
        <v>484</v>
      </c>
      <c r="E102" t="s">
        <v>51</v>
      </c>
      <c r="F102" t="s">
        <v>103</v>
      </c>
      <c r="G102" t="s">
        <v>667</v>
      </c>
      <c r="H102" t="s">
        <v>119</v>
      </c>
      <c r="I102" t="s">
        <v>668</v>
      </c>
      <c r="J102" t="s">
        <v>669</v>
      </c>
      <c r="Q102" t="s">
        <v>488</v>
      </c>
      <c r="R102" t="s">
        <v>670</v>
      </c>
      <c r="S102" t="s">
        <v>671</v>
      </c>
      <c r="W102" t="s">
        <v>468</v>
      </c>
      <c r="Y102" t="s">
        <v>468</v>
      </c>
      <c r="Z102" t="s">
        <v>490</v>
      </c>
      <c r="AA102" t="s">
        <v>529</v>
      </c>
      <c r="AB102" t="s">
        <v>71</v>
      </c>
      <c r="AC102" t="s">
        <v>672</v>
      </c>
      <c r="AD102" t="s">
        <v>197</v>
      </c>
      <c r="AE102" t="s">
        <v>87</v>
      </c>
      <c r="AG102" t="s">
        <v>565</v>
      </c>
      <c r="AZ102" t="s">
        <v>265</v>
      </c>
    </row>
    <row r="103" spans="1:52">
      <c r="A103">
        <f>HYPERLINK("https://edge.metroleads.com/companies/0c7e9033-589f-47bc-8bd1-ed16f4709436/leads#/lead/cdcb9a9c-69f4-4d91-9a5a-b5d486453387", "cdcb9a9c-69f4-4d91-9a5a-b5d486453387")</f>
        <v/>
      </c>
      <c r="B103" t="s">
        <v>673</v>
      </c>
      <c r="C103" t="s">
        <v>65</v>
      </c>
      <c r="D103" t="s">
        <v>539</v>
      </c>
      <c r="E103" t="s">
        <v>51</v>
      </c>
      <c r="F103" t="s">
        <v>78</v>
      </c>
      <c r="G103" t="s">
        <v>674</v>
      </c>
      <c r="H103" t="s">
        <v>119</v>
      </c>
      <c r="I103" t="s">
        <v>675</v>
      </c>
      <c r="J103" t="s">
        <v>676</v>
      </c>
      <c r="W103" t="s">
        <v>124</v>
      </c>
      <c r="X103" t="s">
        <v>124</v>
      </c>
      <c r="Y103" t="s">
        <v>124</v>
      </c>
      <c r="Z103" t="s">
        <v>58</v>
      </c>
      <c r="AA103" t="s">
        <v>254</v>
      </c>
      <c r="AB103" t="s">
        <v>71</v>
      </c>
      <c r="AC103" t="s">
        <v>658</v>
      </c>
      <c r="AD103" t="s">
        <v>127</v>
      </c>
      <c r="AE103" t="s">
        <v>87</v>
      </c>
      <c r="AG103" t="s">
        <v>242</v>
      </c>
      <c r="AH103" t="s">
        <v>539</v>
      </c>
      <c r="AI103" t="s">
        <v>54</v>
      </c>
      <c r="AY103" t="s">
        <v>659</v>
      </c>
    </row>
    <row r="104" spans="1:52">
      <c r="A104">
        <f>HYPERLINK("https://edge.metroleads.com/companies/0c7e9033-589f-47bc-8bd1-ed16f4709436/leads#/lead/553522f6-640b-413a-958a-390b4e947b55", "553522f6-640b-413a-958a-390b4e947b55")</f>
        <v/>
      </c>
      <c r="B104" t="s">
        <v>677</v>
      </c>
      <c r="C104" t="s">
        <v>678</v>
      </c>
      <c r="D104" t="s">
        <v>484</v>
      </c>
      <c r="E104" t="s">
        <v>51</v>
      </c>
      <c r="F104" t="s">
        <v>679</v>
      </c>
      <c r="G104" t="s">
        <v>680</v>
      </c>
      <c r="H104" t="s">
        <v>65</v>
      </c>
      <c r="I104" t="s">
        <v>681</v>
      </c>
      <c r="J104" t="s">
        <v>682</v>
      </c>
      <c r="K104" t="s">
        <v>683</v>
      </c>
      <c r="Q104" t="s">
        <v>488</v>
      </c>
      <c r="W104" t="s">
        <v>468</v>
      </c>
      <c r="X104" t="s">
        <v>468</v>
      </c>
      <c r="Z104" t="s">
        <v>83</v>
      </c>
      <c r="AA104" t="s">
        <v>370</v>
      </c>
      <c r="AB104" t="s">
        <v>71</v>
      </c>
      <c r="AC104" t="s">
        <v>684</v>
      </c>
      <c r="AD104" t="s">
        <v>197</v>
      </c>
      <c r="AE104" t="s">
        <v>87</v>
      </c>
      <c r="AG104" t="s">
        <v>150</v>
      </c>
      <c r="AN104" t="s">
        <v>685</v>
      </c>
    </row>
    <row r="105" spans="1:52">
      <c r="A105">
        <f>HYPERLINK("https://edge.metroleads.com/companies/0c7e9033-589f-47bc-8bd1-ed16f4709436/leads#/lead/b0dccdc2-3f9a-4e91-97a3-52eb2c6782a3", "b0dccdc2-3f9a-4e91-97a3-52eb2c6782a3")</f>
        <v/>
      </c>
      <c r="B105" t="s">
        <v>686</v>
      </c>
      <c r="C105" t="s">
        <v>65</v>
      </c>
      <c r="D105" t="s">
        <v>484</v>
      </c>
      <c r="E105" t="s">
        <v>51</v>
      </c>
      <c r="F105" t="s">
        <v>103</v>
      </c>
      <c r="G105" t="s">
        <v>687</v>
      </c>
      <c r="H105" t="s">
        <v>119</v>
      </c>
      <c r="I105" t="s">
        <v>688</v>
      </c>
      <c r="J105" t="s">
        <v>689</v>
      </c>
      <c r="Q105" t="s">
        <v>488</v>
      </c>
      <c r="R105" t="s">
        <v>690</v>
      </c>
      <c r="S105" t="s">
        <v>691</v>
      </c>
      <c r="W105" t="s">
        <v>468</v>
      </c>
      <c r="X105" t="s">
        <v>468</v>
      </c>
      <c r="Y105" t="s">
        <v>468</v>
      </c>
      <c r="Z105" t="s">
        <v>83</v>
      </c>
      <c r="AA105" t="s">
        <v>648</v>
      </c>
      <c r="AB105" t="s">
        <v>71</v>
      </c>
      <c r="AC105" t="s">
        <v>371</v>
      </c>
      <c r="AD105" t="s">
        <v>197</v>
      </c>
      <c r="AE105" t="s">
        <v>87</v>
      </c>
      <c r="AG105" t="s">
        <v>565</v>
      </c>
      <c r="AH105" t="s">
        <v>501</v>
      </c>
      <c r="AI105" t="s">
        <v>54</v>
      </c>
      <c r="AJ105" t="s">
        <v>650</v>
      </c>
      <c r="AZ105" t="s">
        <v>265</v>
      </c>
    </row>
    <row r="106" spans="1:52">
      <c r="A106">
        <f>HYPERLINK("https://edge.metroleads.com/companies/0c7e9033-589f-47bc-8bd1-ed16f4709436/leads#/lead/13337251-632b-40ab-aa52-8afcfaf50a5b", "13337251-632b-40ab-aa52-8afcfaf50a5b")</f>
        <v/>
      </c>
      <c r="B106" t="s">
        <v>692</v>
      </c>
      <c r="C106" t="s">
        <v>49</v>
      </c>
      <c r="D106" t="s">
        <v>328</v>
      </c>
      <c r="E106" t="s">
        <v>51</v>
      </c>
      <c r="F106" t="s">
        <v>161</v>
      </c>
      <c r="G106" t="s">
        <v>693</v>
      </c>
      <c r="H106" t="s">
        <v>76</v>
      </c>
      <c r="I106" t="s">
        <v>694</v>
      </c>
      <c r="J106" t="s">
        <v>695</v>
      </c>
      <c r="K106" t="s">
        <v>696</v>
      </c>
      <c r="X106" t="s">
        <v>57</v>
      </c>
      <c r="Y106" t="s">
        <v>57</v>
      </c>
      <c r="Z106" t="s">
        <v>58</v>
      </c>
      <c r="AB106" t="s">
        <v>71</v>
      </c>
      <c r="AC106" t="s">
        <v>59</v>
      </c>
      <c r="AD106" t="s">
        <v>275</v>
      </c>
      <c r="AG106" t="s">
        <v>232</v>
      </c>
      <c r="AH106" t="s">
        <v>328</v>
      </c>
      <c r="AI106" t="s">
        <v>49</v>
      </c>
      <c r="AJ106" t="s">
        <v>697</v>
      </c>
      <c r="AT106" t="s">
        <v>62</v>
      </c>
      <c r="AU106" t="s">
        <v>276</v>
      </c>
      <c r="AZ106" t="s">
        <v>284</v>
      </c>
    </row>
    <row r="107" spans="1:52">
      <c r="A107">
        <f>HYPERLINK("https://edge.metroleads.com/companies/0c7e9033-589f-47bc-8bd1-ed16f4709436/leads#/lead/df4986ee-b53a-450c-9c9e-ef04a39a0eec", "df4986ee-b53a-450c-9c9e-ef04a39a0eec")</f>
        <v/>
      </c>
      <c r="B107" t="s">
        <v>698</v>
      </c>
      <c r="C107" t="s">
        <v>54</v>
      </c>
      <c r="D107" t="s">
        <v>484</v>
      </c>
      <c r="E107" t="s">
        <v>51</v>
      </c>
      <c r="F107" t="s">
        <v>78</v>
      </c>
      <c r="G107" t="s">
        <v>699</v>
      </c>
      <c r="H107" t="s">
        <v>119</v>
      </c>
      <c r="I107" t="s">
        <v>700</v>
      </c>
      <c r="J107" t="s">
        <v>701</v>
      </c>
      <c r="Q107" t="s">
        <v>488</v>
      </c>
      <c r="W107" t="s">
        <v>468</v>
      </c>
      <c r="X107" t="s">
        <v>468</v>
      </c>
      <c r="Y107" t="s">
        <v>468</v>
      </c>
      <c r="Z107" t="s">
        <v>490</v>
      </c>
      <c r="AA107" t="s">
        <v>529</v>
      </c>
      <c r="AB107" t="s">
        <v>71</v>
      </c>
      <c r="AC107" t="s">
        <v>702</v>
      </c>
      <c r="AD107" t="s">
        <v>703</v>
      </c>
      <c r="AE107" t="s">
        <v>87</v>
      </c>
      <c r="AG107" t="s">
        <v>428</v>
      </c>
      <c r="AZ107" t="s">
        <v>265</v>
      </c>
    </row>
    <row r="108" spans="1:52">
      <c r="A108">
        <f>HYPERLINK("https://edge.metroleads.com/companies/0c7e9033-589f-47bc-8bd1-ed16f4709436/leads#/lead/278a9528-3287-4687-bd77-7a111b96a4c8", "278a9528-3287-4687-bd77-7a111b96a4c8")</f>
        <v/>
      </c>
      <c r="B108" t="s">
        <v>704</v>
      </c>
      <c r="C108" t="s">
        <v>54</v>
      </c>
      <c r="D108" t="s">
        <v>328</v>
      </c>
      <c r="E108" t="s">
        <v>51</v>
      </c>
      <c r="F108" t="s">
        <v>161</v>
      </c>
      <c r="G108" t="s">
        <v>705</v>
      </c>
      <c r="H108" t="s">
        <v>65</v>
      </c>
      <c r="I108" t="s">
        <v>706</v>
      </c>
      <c r="J108" t="s">
        <v>707</v>
      </c>
      <c r="X108" t="s">
        <v>57</v>
      </c>
      <c r="Y108" t="s">
        <v>57</v>
      </c>
      <c r="Z108" t="s">
        <v>58</v>
      </c>
      <c r="AC108" t="s">
        <v>171</v>
      </c>
      <c r="AG108" t="s">
        <v>708</v>
      </c>
      <c r="AH108" t="s">
        <v>328</v>
      </c>
      <c r="AI108" t="s">
        <v>49</v>
      </c>
      <c r="AJ108" t="s">
        <v>709</v>
      </c>
      <c r="AT108" t="s">
        <v>62</v>
      </c>
      <c r="AU108" t="s">
        <v>63</v>
      </c>
    </row>
    <row r="109" spans="1:52">
      <c r="A109">
        <f>HYPERLINK("https://edge.metroleads.com/companies/0c7e9033-589f-47bc-8bd1-ed16f4709436/leads#/lead/64c8cca9-889a-4904-b115-7e9a4b6f298c", "64c8cca9-889a-4904-b115-7e9a4b6f298c")</f>
        <v/>
      </c>
      <c r="B109" t="s">
        <v>710</v>
      </c>
      <c r="C109" t="s">
        <v>54</v>
      </c>
      <c r="D109" t="s">
        <v>363</v>
      </c>
      <c r="E109" t="s">
        <v>51</v>
      </c>
      <c r="F109" t="s">
        <v>711</v>
      </c>
      <c r="G109" t="s">
        <v>712</v>
      </c>
      <c r="H109" t="s">
        <v>76</v>
      </c>
      <c r="I109" t="s">
        <v>713</v>
      </c>
      <c r="J109" t="s">
        <v>714</v>
      </c>
      <c r="K109" t="s">
        <v>715</v>
      </c>
      <c r="Q109" t="s">
        <v>82</v>
      </c>
      <c r="W109" t="s">
        <v>69</v>
      </c>
      <c r="X109" t="s">
        <v>69</v>
      </c>
      <c r="Z109" t="s">
        <v>110</v>
      </c>
      <c r="AA109" t="s">
        <v>111</v>
      </c>
      <c r="AB109" t="s">
        <v>71</v>
      </c>
      <c r="AC109" t="s">
        <v>112</v>
      </c>
      <c r="AD109" t="s">
        <v>127</v>
      </c>
      <c r="AE109" t="s">
        <v>87</v>
      </c>
      <c r="AG109" t="s">
        <v>88</v>
      </c>
      <c r="AH109" t="s">
        <v>66</v>
      </c>
      <c r="AI109" t="s">
        <v>54</v>
      </c>
      <c r="AY109" t="s">
        <v>636</v>
      </c>
      <c r="AZ109" t="s">
        <v>284</v>
      </c>
    </row>
    <row r="110" spans="1:52">
      <c r="A110">
        <f>HYPERLINK("https://edge.metroleads.com/companies/0c7e9033-589f-47bc-8bd1-ed16f4709436/leads#/lead/f5d2a734-9728-4dbc-8eaf-19c718d0aecc", "f5d2a734-9728-4dbc-8eaf-19c718d0aecc")</f>
        <v/>
      </c>
      <c r="B110" t="s">
        <v>716</v>
      </c>
      <c r="C110" t="s">
        <v>54</v>
      </c>
      <c r="D110" t="s">
        <v>363</v>
      </c>
      <c r="E110" t="s">
        <v>51</v>
      </c>
      <c r="F110" t="s">
        <v>717</v>
      </c>
      <c r="G110" t="s">
        <v>718</v>
      </c>
      <c r="H110" t="s">
        <v>65</v>
      </c>
      <c r="I110" t="s">
        <v>719</v>
      </c>
      <c r="J110" t="s">
        <v>720</v>
      </c>
      <c r="Q110" t="s">
        <v>717</v>
      </c>
      <c r="U110" t="s">
        <v>721</v>
      </c>
      <c r="V110" t="s">
        <v>722</v>
      </c>
      <c r="W110" t="s">
        <v>69</v>
      </c>
      <c r="X110" t="s">
        <v>69</v>
      </c>
      <c r="Y110" t="s">
        <v>69</v>
      </c>
      <c r="Z110" t="s">
        <v>110</v>
      </c>
      <c r="AB110" t="s">
        <v>71</v>
      </c>
      <c r="AC110" t="s">
        <v>649</v>
      </c>
      <c r="AD110" t="s">
        <v>86</v>
      </c>
      <c r="AE110" t="s">
        <v>87</v>
      </c>
      <c r="AG110" t="s">
        <v>723</v>
      </c>
      <c r="AH110" t="s">
        <v>66</v>
      </c>
      <c r="AI110" t="s">
        <v>54</v>
      </c>
    </row>
    <row r="111" spans="1:52">
      <c r="A111">
        <f>HYPERLINK("https://edge.metroleads.com/companies/0c7e9033-589f-47bc-8bd1-ed16f4709436/leads#/lead/e5bd45ad-b197-477e-8a27-07b5fbb1682d", "e5bd45ad-b197-477e-8a27-07b5fbb1682d")</f>
        <v/>
      </c>
      <c r="B111" t="s">
        <v>724</v>
      </c>
      <c r="C111" t="s">
        <v>265</v>
      </c>
      <c r="D111" t="s">
        <v>539</v>
      </c>
      <c r="E111" t="s">
        <v>51</v>
      </c>
      <c r="F111" t="s">
        <v>103</v>
      </c>
      <c r="G111" t="s">
        <v>725</v>
      </c>
      <c r="H111" t="s">
        <v>65</v>
      </c>
      <c r="I111" t="s">
        <v>726</v>
      </c>
      <c r="J111" t="s">
        <v>727</v>
      </c>
      <c r="Q111" t="s">
        <v>52</v>
      </c>
      <c r="R111" t="s">
        <v>728</v>
      </c>
      <c r="S111" t="s">
        <v>729</v>
      </c>
      <c r="T111" t="s">
        <v>730</v>
      </c>
      <c r="W111" t="s">
        <v>124</v>
      </c>
      <c r="X111" t="s">
        <v>124</v>
      </c>
      <c r="Y111" t="s">
        <v>124</v>
      </c>
      <c r="Z111" t="s">
        <v>83</v>
      </c>
      <c r="AA111" t="s">
        <v>125</v>
      </c>
      <c r="AB111" t="s">
        <v>71</v>
      </c>
      <c r="AC111" t="s">
        <v>185</v>
      </c>
      <c r="AD111" t="s">
        <v>127</v>
      </c>
      <c r="AE111" t="s">
        <v>87</v>
      </c>
      <c r="AG111" t="s">
        <v>128</v>
      </c>
      <c r="AH111" t="s">
        <v>539</v>
      </c>
      <c r="AI111" t="s">
        <v>54</v>
      </c>
      <c r="AZ111" t="s">
        <v>265</v>
      </c>
    </row>
    <row r="112" spans="1:52">
      <c r="A112">
        <f>HYPERLINK("https://edge.metroleads.com/companies/0c7e9033-589f-47bc-8bd1-ed16f4709436/leads#/lead/4ad4e5a2-67f5-48e9-97c2-dd106b989282", "4ad4e5a2-67f5-48e9-97c2-dd106b989282")</f>
        <v/>
      </c>
      <c r="B112" t="s">
        <v>731</v>
      </c>
      <c r="C112" t="s">
        <v>76</v>
      </c>
      <c r="D112" t="s">
        <v>117</v>
      </c>
      <c r="E112" t="s">
        <v>51</v>
      </c>
      <c r="F112" t="s">
        <v>329</v>
      </c>
      <c r="G112" t="s">
        <v>732</v>
      </c>
      <c r="H112" t="s">
        <v>49</v>
      </c>
      <c r="I112" t="s">
        <v>733</v>
      </c>
      <c r="J112" t="s">
        <v>734</v>
      </c>
      <c r="W112" t="s">
        <v>124</v>
      </c>
      <c r="Y112" t="s">
        <v>124</v>
      </c>
      <c r="Z112" t="s">
        <v>83</v>
      </c>
      <c r="AA112" t="s">
        <v>84</v>
      </c>
      <c r="AB112" t="s">
        <v>71</v>
      </c>
      <c r="AC112" t="s">
        <v>126</v>
      </c>
      <c r="AD112" t="s">
        <v>735</v>
      </c>
      <c r="AE112" t="s">
        <v>87</v>
      </c>
      <c r="AG112" t="s">
        <v>428</v>
      </c>
      <c r="AI112" t="s">
        <v>49</v>
      </c>
      <c r="AJ112" t="s">
        <v>736</v>
      </c>
      <c r="AN112" t="s">
        <v>515</v>
      </c>
    </row>
    <row r="113" spans="1:52">
      <c r="A113">
        <f>HYPERLINK("https://edge.metroleads.com/companies/0c7e9033-589f-47bc-8bd1-ed16f4709436/leads#/lead/ca99090c-85d5-476f-9d0e-9438ffc60bec", "ca99090c-85d5-476f-9d0e-9438ffc60bec")</f>
        <v/>
      </c>
      <c r="B113" t="s">
        <v>737</v>
      </c>
      <c r="C113" t="s">
        <v>265</v>
      </c>
      <c r="D113" t="s">
        <v>539</v>
      </c>
      <c r="E113" t="s">
        <v>51</v>
      </c>
      <c r="F113" t="s">
        <v>103</v>
      </c>
      <c r="G113" t="s">
        <v>738</v>
      </c>
      <c r="H113" t="s">
        <v>65</v>
      </c>
      <c r="I113" t="s">
        <v>739</v>
      </c>
      <c r="J113" t="s">
        <v>740</v>
      </c>
      <c r="Q113" t="s">
        <v>52</v>
      </c>
      <c r="R113" t="s">
        <v>741</v>
      </c>
      <c r="S113" t="s">
        <v>742</v>
      </c>
      <c r="W113" t="s">
        <v>124</v>
      </c>
      <c r="X113" t="s">
        <v>124</v>
      </c>
      <c r="Y113" t="s">
        <v>124</v>
      </c>
      <c r="Z113" t="s">
        <v>58</v>
      </c>
      <c r="AA113" t="s">
        <v>254</v>
      </c>
      <c r="AB113" t="s">
        <v>71</v>
      </c>
      <c r="AC113" t="s">
        <v>658</v>
      </c>
      <c r="AD113" t="s">
        <v>127</v>
      </c>
      <c r="AE113" t="s">
        <v>87</v>
      </c>
      <c r="AG113" t="s">
        <v>264</v>
      </c>
      <c r="AH113" t="s">
        <v>539</v>
      </c>
      <c r="AI113" t="s">
        <v>54</v>
      </c>
    </row>
    <row r="114" spans="1:52">
      <c r="A114">
        <f>HYPERLINK("https://edge.metroleads.com/companies/0c7e9033-589f-47bc-8bd1-ed16f4709436/leads#/lead/e006ea5a-741f-4b2e-aa63-390ae55f5f5d", "e006ea5a-741f-4b2e-aa63-390ae55f5f5d")</f>
        <v/>
      </c>
      <c r="B114" t="s">
        <v>743</v>
      </c>
      <c r="C114" t="s">
        <v>265</v>
      </c>
      <c r="D114" t="s">
        <v>539</v>
      </c>
      <c r="E114" t="s">
        <v>51</v>
      </c>
      <c r="F114" t="s">
        <v>78</v>
      </c>
      <c r="G114" t="s">
        <v>744</v>
      </c>
      <c r="H114" t="s">
        <v>54</v>
      </c>
      <c r="I114" t="s">
        <v>745</v>
      </c>
      <c r="J114" t="s">
        <v>746</v>
      </c>
      <c r="W114" t="s">
        <v>124</v>
      </c>
      <c r="X114" t="s">
        <v>124</v>
      </c>
      <c r="Y114" t="s">
        <v>124</v>
      </c>
      <c r="Z114" t="s">
        <v>222</v>
      </c>
      <c r="AA114" t="s">
        <v>333</v>
      </c>
      <c r="AB114" t="s">
        <v>71</v>
      </c>
      <c r="AC114" t="s">
        <v>185</v>
      </c>
      <c r="AD114" t="s">
        <v>127</v>
      </c>
      <c r="AE114" t="s">
        <v>87</v>
      </c>
      <c r="AG114" t="s">
        <v>565</v>
      </c>
      <c r="AH114" t="s">
        <v>539</v>
      </c>
      <c r="AI114" t="s">
        <v>54</v>
      </c>
    </row>
    <row r="115" spans="1:52">
      <c r="A115">
        <f>HYPERLINK("https://edge.metroleads.com/companies/0c7e9033-589f-47bc-8bd1-ed16f4709436/leads#/lead/b7487281-062f-4c2f-a7d8-33bc18c325c5", "b7487281-062f-4c2f-a7d8-33bc18c325c5")</f>
        <v/>
      </c>
      <c r="B115" t="s">
        <v>747</v>
      </c>
      <c r="C115" t="s">
        <v>265</v>
      </c>
      <c r="D115" t="s">
        <v>539</v>
      </c>
      <c r="E115" t="s">
        <v>51</v>
      </c>
      <c r="F115" t="s">
        <v>103</v>
      </c>
      <c r="G115" t="s">
        <v>748</v>
      </c>
      <c r="H115" t="s">
        <v>65</v>
      </c>
      <c r="I115" t="s">
        <v>749</v>
      </c>
      <c r="J115" t="s">
        <v>750</v>
      </c>
      <c r="Q115" t="s">
        <v>52</v>
      </c>
      <c r="R115" t="s">
        <v>751</v>
      </c>
      <c r="S115" t="s">
        <v>752</v>
      </c>
      <c r="T115" t="s">
        <v>753</v>
      </c>
      <c r="W115" t="s">
        <v>124</v>
      </c>
      <c r="X115" t="s">
        <v>124</v>
      </c>
      <c r="Y115" t="s">
        <v>124</v>
      </c>
      <c r="Z115" t="s">
        <v>58</v>
      </c>
      <c r="AA115" t="s">
        <v>254</v>
      </c>
      <c r="AB115" t="s">
        <v>71</v>
      </c>
      <c r="AC115" t="s">
        <v>185</v>
      </c>
      <c r="AD115" t="s">
        <v>127</v>
      </c>
      <c r="AE115" t="s">
        <v>87</v>
      </c>
      <c r="AG115" t="s">
        <v>159</v>
      </c>
      <c r="AH115" t="s">
        <v>539</v>
      </c>
      <c r="AI115" t="s">
        <v>54</v>
      </c>
    </row>
    <row r="116" spans="1:52">
      <c r="A116">
        <f>HYPERLINK("https://edge.metroleads.com/companies/0c7e9033-589f-47bc-8bd1-ed16f4709436/leads#/lead/fd67f3f4-413d-40f3-af5b-0f4e59804b3d", "fd67f3f4-413d-40f3-af5b-0f4e59804b3d")</f>
        <v/>
      </c>
      <c r="B116" t="s">
        <v>754</v>
      </c>
      <c r="C116" t="s">
        <v>34</v>
      </c>
      <c r="D116" t="s">
        <v>539</v>
      </c>
      <c r="E116" t="s">
        <v>51</v>
      </c>
      <c r="F116" t="s">
        <v>103</v>
      </c>
      <c r="G116" t="s">
        <v>755</v>
      </c>
      <c r="H116" t="s">
        <v>265</v>
      </c>
      <c r="I116" t="s">
        <v>756</v>
      </c>
      <c r="J116" t="s">
        <v>757</v>
      </c>
      <c r="Q116" t="s">
        <v>52</v>
      </c>
      <c r="R116" t="s">
        <v>758</v>
      </c>
      <c r="S116" t="s">
        <v>759</v>
      </c>
      <c r="T116" t="s">
        <v>760</v>
      </c>
      <c r="W116" t="s">
        <v>124</v>
      </c>
      <c r="X116" t="s">
        <v>124</v>
      </c>
      <c r="Y116" t="s">
        <v>124</v>
      </c>
      <c r="Z116" t="s">
        <v>83</v>
      </c>
      <c r="AA116" t="s">
        <v>125</v>
      </c>
      <c r="AB116" t="s">
        <v>71</v>
      </c>
      <c r="AC116" t="s">
        <v>126</v>
      </c>
      <c r="AD116" t="s">
        <v>127</v>
      </c>
      <c r="AE116" t="s">
        <v>87</v>
      </c>
      <c r="AG116" t="s">
        <v>88</v>
      </c>
      <c r="AH116" t="s">
        <v>539</v>
      </c>
      <c r="AI116" t="s">
        <v>54</v>
      </c>
      <c r="AM116" t="s">
        <v>270</v>
      </c>
    </row>
    <row r="117" spans="1:52">
      <c r="A117">
        <f>HYPERLINK("https://edge.metroleads.com/companies/0c7e9033-589f-47bc-8bd1-ed16f4709436/leads#/lead/4f1f0b66-d990-4f77-b0b6-5f7c32e1b4fb", "4f1f0b66-d990-4f77-b0b6-5f7c32e1b4fb")</f>
        <v/>
      </c>
      <c r="B117" t="s">
        <v>761</v>
      </c>
      <c r="C117" t="s">
        <v>265</v>
      </c>
      <c r="D117" t="s">
        <v>244</v>
      </c>
      <c r="E117" t="s">
        <v>51</v>
      </c>
      <c r="F117" t="s">
        <v>52</v>
      </c>
      <c r="G117" t="s">
        <v>762</v>
      </c>
      <c r="H117" t="s">
        <v>65</v>
      </c>
      <c r="I117" t="s">
        <v>763</v>
      </c>
      <c r="J117" t="s">
        <v>764</v>
      </c>
      <c r="K117" t="s">
        <v>765</v>
      </c>
      <c r="X117" t="s">
        <v>57</v>
      </c>
      <c r="Y117" t="s">
        <v>57</v>
      </c>
      <c r="Z117" t="s">
        <v>83</v>
      </c>
      <c r="AC117" t="s">
        <v>282</v>
      </c>
      <c r="AD117" t="s">
        <v>275</v>
      </c>
      <c r="AG117" t="s">
        <v>159</v>
      </c>
      <c r="AT117" t="s">
        <v>62</v>
      </c>
      <c r="AU117" t="s">
        <v>276</v>
      </c>
      <c r="AZ117" t="s">
        <v>265</v>
      </c>
    </row>
    <row r="118" spans="1:52">
      <c r="A118">
        <f>HYPERLINK("https://edge.metroleads.com/companies/0c7e9033-589f-47bc-8bd1-ed16f4709436/leads#/lead/0dfdd30d-daaf-46ee-837d-9fa77624d97c", "0dfdd30d-daaf-46ee-837d-9fa77624d97c")</f>
        <v/>
      </c>
      <c r="B118" t="s">
        <v>766</v>
      </c>
      <c r="C118" t="s">
        <v>65</v>
      </c>
      <c r="D118" t="s">
        <v>117</v>
      </c>
      <c r="E118" t="s">
        <v>51</v>
      </c>
      <c r="F118" t="s">
        <v>103</v>
      </c>
      <c r="G118" t="s">
        <v>767</v>
      </c>
      <c r="H118" t="s">
        <v>49</v>
      </c>
      <c r="I118" t="s">
        <v>768</v>
      </c>
      <c r="J118" t="s">
        <v>769</v>
      </c>
      <c r="R118" t="s">
        <v>770</v>
      </c>
      <c r="S118" t="s">
        <v>771</v>
      </c>
      <c r="T118" t="s">
        <v>772</v>
      </c>
      <c r="W118" t="s">
        <v>124</v>
      </c>
      <c r="X118" t="s">
        <v>124</v>
      </c>
      <c r="Z118" t="s">
        <v>58</v>
      </c>
      <c r="AA118" t="s">
        <v>254</v>
      </c>
      <c r="AB118" t="s">
        <v>71</v>
      </c>
      <c r="AC118" t="s">
        <v>658</v>
      </c>
      <c r="AD118" t="s">
        <v>127</v>
      </c>
      <c r="AE118" t="s">
        <v>87</v>
      </c>
      <c r="AG118" t="s">
        <v>242</v>
      </c>
      <c r="AJ118" t="s">
        <v>773</v>
      </c>
    </row>
    <row r="119" spans="1:52">
      <c r="A119">
        <f>HYPERLINK("https://edge.metroleads.com/companies/0c7e9033-589f-47bc-8bd1-ed16f4709436/leads#/lead/9026ed92-9e5c-46a3-8264-2e20b0ee88f8", "9026ed92-9e5c-46a3-8264-2e20b0ee88f8")</f>
        <v/>
      </c>
      <c r="B119" t="s">
        <v>774</v>
      </c>
      <c r="C119" t="s">
        <v>65</v>
      </c>
      <c r="D119" t="s">
        <v>117</v>
      </c>
      <c r="E119" t="s">
        <v>51</v>
      </c>
      <c r="F119" t="s">
        <v>775</v>
      </c>
      <c r="G119" t="s">
        <v>776</v>
      </c>
      <c r="H119" t="s">
        <v>775</v>
      </c>
      <c r="I119" t="s">
        <v>393</v>
      </c>
      <c r="J119" t="s">
        <v>777</v>
      </c>
      <c r="K119" t="s">
        <v>778</v>
      </c>
      <c r="R119" t="s">
        <v>562</v>
      </c>
      <c r="S119" t="s">
        <v>779</v>
      </c>
      <c r="T119" t="s">
        <v>780</v>
      </c>
      <c r="W119" t="s">
        <v>781</v>
      </c>
      <c r="Z119" t="s">
        <v>222</v>
      </c>
      <c r="AA119" t="s">
        <v>333</v>
      </c>
      <c r="AB119" t="s">
        <v>71</v>
      </c>
      <c r="AC119" t="s">
        <v>126</v>
      </c>
      <c r="AD119" t="s">
        <v>127</v>
      </c>
      <c r="AE119" t="s">
        <v>87</v>
      </c>
      <c r="AG119" t="s">
        <v>339</v>
      </c>
      <c r="AJ119" t="s">
        <v>782</v>
      </c>
      <c r="AZ119" t="s">
        <v>284</v>
      </c>
    </row>
    <row r="120" spans="1:52">
      <c r="A120">
        <f>HYPERLINK("https://edge.metroleads.com/companies/0c7e9033-589f-47bc-8bd1-ed16f4709436/leads#/lead/274c0e0a-000f-4715-8d93-0ad7cc527312", "274c0e0a-000f-4715-8d93-0ad7cc527312")</f>
        <v/>
      </c>
      <c r="B120" t="s">
        <v>783</v>
      </c>
      <c r="C120" t="s">
        <v>54</v>
      </c>
      <c r="D120" t="s">
        <v>211</v>
      </c>
      <c r="E120" t="s">
        <v>51</v>
      </c>
      <c r="F120" t="s">
        <v>52</v>
      </c>
      <c r="G120" t="s">
        <v>784</v>
      </c>
      <c r="H120" t="s">
        <v>65</v>
      </c>
      <c r="I120" t="s">
        <v>785</v>
      </c>
      <c r="J120" t="s">
        <v>786</v>
      </c>
      <c r="Y120" t="s">
        <v>57</v>
      </c>
      <c r="Z120" t="s">
        <v>83</v>
      </c>
      <c r="AC120" t="s">
        <v>149</v>
      </c>
      <c r="AG120" t="s">
        <v>339</v>
      </c>
      <c r="AT120" t="s">
        <v>62</v>
      </c>
      <c r="AU120" t="s">
        <v>63</v>
      </c>
    </row>
    <row r="121" spans="1:52">
      <c r="A121">
        <f>HYPERLINK("https://edge.metroleads.com/companies/0c7e9033-589f-47bc-8bd1-ed16f4709436/leads#/lead/2773604b-0388-407b-a9a3-70ab7048704c", "2773604b-0388-407b-a9a3-70ab7048704c")</f>
        <v/>
      </c>
      <c r="B121" t="s">
        <v>787</v>
      </c>
      <c r="C121" t="s">
        <v>54</v>
      </c>
      <c r="D121" t="s">
        <v>211</v>
      </c>
      <c r="E121" t="s">
        <v>51</v>
      </c>
      <c r="F121" t="s">
        <v>52</v>
      </c>
      <c r="G121" t="s">
        <v>788</v>
      </c>
      <c r="H121" t="s">
        <v>65</v>
      </c>
      <c r="I121" t="s">
        <v>789</v>
      </c>
      <c r="J121" t="s">
        <v>790</v>
      </c>
      <c r="Y121" t="s">
        <v>57</v>
      </c>
      <c r="Z121" t="s">
        <v>83</v>
      </c>
      <c r="AC121" t="s">
        <v>149</v>
      </c>
      <c r="AG121" t="s">
        <v>339</v>
      </c>
      <c r="AT121" t="s">
        <v>62</v>
      </c>
      <c r="AU121" t="s">
        <v>63</v>
      </c>
    </row>
    <row r="122" spans="1:52">
      <c r="A122">
        <f>HYPERLINK("https://edge.metroleads.com/companies/0c7e9033-589f-47bc-8bd1-ed16f4709436/leads#/lead/ac4e4b38-74f6-4368-a954-e99af1bf7267", "ac4e4b38-74f6-4368-a954-e99af1bf7267")</f>
        <v/>
      </c>
      <c r="B122" t="s">
        <v>791</v>
      </c>
      <c r="C122" t="s">
        <v>65</v>
      </c>
      <c r="D122" t="s">
        <v>117</v>
      </c>
      <c r="E122" t="s">
        <v>51</v>
      </c>
      <c r="F122" t="s">
        <v>78</v>
      </c>
      <c r="G122" t="s">
        <v>792</v>
      </c>
      <c r="H122" t="s">
        <v>119</v>
      </c>
      <c r="I122" t="s">
        <v>793</v>
      </c>
      <c r="J122" t="s">
        <v>794</v>
      </c>
      <c r="W122" t="s">
        <v>124</v>
      </c>
      <c r="X122" t="s">
        <v>124</v>
      </c>
      <c r="Z122" t="s">
        <v>58</v>
      </c>
      <c r="AA122" t="s">
        <v>254</v>
      </c>
      <c r="AB122" t="s">
        <v>71</v>
      </c>
      <c r="AC122" t="s">
        <v>185</v>
      </c>
      <c r="AD122" t="s">
        <v>127</v>
      </c>
      <c r="AE122" t="s">
        <v>87</v>
      </c>
      <c r="AG122" t="s">
        <v>339</v>
      </c>
      <c r="AJ122" t="s">
        <v>795</v>
      </c>
    </row>
    <row r="123" spans="1:52">
      <c r="A123">
        <f>HYPERLINK("https://edge.metroleads.com/companies/0c7e9033-589f-47bc-8bd1-ed16f4709436/leads#/lead/8e402ba9-c28f-4b5b-95e0-0b3030577ca6", "8e402ba9-c28f-4b5b-95e0-0b3030577ca6")</f>
        <v/>
      </c>
      <c r="B123" t="s">
        <v>796</v>
      </c>
      <c r="C123" t="s">
        <v>49</v>
      </c>
      <c r="D123" t="s">
        <v>50</v>
      </c>
      <c r="E123" t="s">
        <v>51</v>
      </c>
      <c r="F123" t="s">
        <v>52</v>
      </c>
      <c r="G123" t="s">
        <v>797</v>
      </c>
      <c r="H123" t="s">
        <v>65</v>
      </c>
      <c r="I123" t="s">
        <v>798</v>
      </c>
      <c r="J123" t="s">
        <v>799</v>
      </c>
      <c r="Y123" t="s">
        <v>57</v>
      </c>
      <c r="Z123" t="s">
        <v>83</v>
      </c>
      <c r="AC123" t="s">
        <v>149</v>
      </c>
      <c r="AG123" t="s">
        <v>339</v>
      </c>
      <c r="AT123" t="s">
        <v>62</v>
      </c>
      <c r="AU123" t="s">
        <v>63</v>
      </c>
    </row>
    <row r="124" spans="1:52">
      <c r="A124">
        <f>HYPERLINK("https://edge.metroleads.com/companies/0c7e9033-589f-47bc-8bd1-ed16f4709436/leads#/lead/fa0de06f-6088-4076-88dd-c22f24c15830", "fa0de06f-6088-4076-88dd-c22f24c15830")</f>
        <v/>
      </c>
      <c r="B124" t="s">
        <v>800</v>
      </c>
      <c r="C124" t="s">
        <v>54</v>
      </c>
      <c r="D124" t="s">
        <v>50</v>
      </c>
      <c r="E124" t="s">
        <v>51</v>
      </c>
      <c r="F124" t="s">
        <v>329</v>
      </c>
      <c r="G124" t="s">
        <v>801</v>
      </c>
      <c r="H124" t="s">
        <v>65</v>
      </c>
      <c r="I124" t="s">
        <v>802</v>
      </c>
      <c r="J124" t="s">
        <v>803</v>
      </c>
      <c r="Q124" t="s">
        <v>399</v>
      </c>
      <c r="W124" t="s">
        <v>57</v>
      </c>
      <c r="X124" t="s">
        <v>57</v>
      </c>
      <c r="Z124" t="s">
        <v>58</v>
      </c>
      <c r="AA124" t="s">
        <v>254</v>
      </c>
      <c r="AB124" t="s">
        <v>71</v>
      </c>
      <c r="AC124" t="s">
        <v>658</v>
      </c>
      <c r="AD124" t="s">
        <v>334</v>
      </c>
      <c r="AE124" t="s">
        <v>87</v>
      </c>
      <c r="AG124" t="s">
        <v>339</v>
      </c>
      <c r="AH124" t="s">
        <v>50</v>
      </c>
    </row>
    <row r="125" spans="1:52">
      <c r="A125">
        <f>HYPERLINK("https://edge.metroleads.com/companies/0c7e9033-589f-47bc-8bd1-ed16f4709436/leads#/lead/51f0814a-8035-48f2-acd5-b1aa808ccefa", "51f0814a-8035-48f2-acd5-b1aa808ccefa")</f>
        <v/>
      </c>
      <c r="B125" t="s">
        <v>804</v>
      </c>
      <c r="C125" t="s">
        <v>54</v>
      </c>
      <c r="D125" t="s">
        <v>50</v>
      </c>
      <c r="E125" t="s">
        <v>805</v>
      </c>
      <c r="F125" t="s">
        <v>806</v>
      </c>
      <c r="G125" t="s">
        <v>807</v>
      </c>
      <c r="H125" t="s">
        <v>65</v>
      </c>
      <c r="I125" t="s">
        <v>808</v>
      </c>
      <c r="J125" t="s">
        <v>809</v>
      </c>
      <c r="K125" t="s">
        <v>810</v>
      </c>
      <c r="Y125" t="s">
        <v>57</v>
      </c>
      <c r="Z125" t="s">
        <v>83</v>
      </c>
      <c r="AC125" t="s">
        <v>59</v>
      </c>
      <c r="AG125" t="s">
        <v>242</v>
      </c>
      <c r="AM125" t="s">
        <v>811</v>
      </c>
      <c r="AP125" t="s">
        <v>812</v>
      </c>
      <c r="AT125" t="s">
        <v>62</v>
      </c>
      <c r="AU125" t="s">
        <v>63</v>
      </c>
    </row>
    <row r="126" spans="1:52">
      <c r="A126">
        <f>HYPERLINK("https://edge.metroleads.com/companies/0c7e9033-589f-47bc-8bd1-ed16f4709436/leads#/lead/95d822f1-673e-4f9e-9b22-62f3bbec609b", "95d822f1-673e-4f9e-9b22-62f3bbec609b")</f>
        <v/>
      </c>
      <c r="B126" t="s">
        <v>813</v>
      </c>
      <c r="C126" t="s">
        <v>54</v>
      </c>
      <c r="D126" t="s">
        <v>50</v>
      </c>
      <c r="E126" t="s">
        <v>51</v>
      </c>
      <c r="F126" t="s">
        <v>814</v>
      </c>
      <c r="G126" t="s">
        <v>815</v>
      </c>
      <c r="H126" t="s">
        <v>65</v>
      </c>
      <c r="I126" t="s">
        <v>816</v>
      </c>
      <c r="J126" t="s">
        <v>817</v>
      </c>
      <c r="K126" t="s">
        <v>818</v>
      </c>
      <c r="L126" t="s">
        <v>819</v>
      </c>
      <c r="Q126" t="s">
        <v>820</v>
      </c>
      <c r="R126" t="s">
        <v>821</v>
      </c>
      <c r="U126" t="s">
        <v>822</v>
      </c>
      <c r="V126" t="s">
        <v>823</v>
      </c>
      <c r="W126" t="s">
        <v>57</v>
      </c>
      <c r="X126" t="s">
        <v>57</v>
      </c>
      <c r="Y126" t="s">
        <v>57</v>
      </c>
      <c r="Z126" t="s">
        <v>58</v>
      </c>
      <c r="AC126" t="s">
        <v>59</v>
      </c>
      <c r="AD126" t="s">
        <v>275</v>
      </c>
      <c r="AG126" t="s">
        <v>242</v>
      </c>
      <c r="AT126" t="s">
        <v>62</v>
      </c>
      <c r="AU126" t="s">
        <v>276</v>
      </c>
    </row>
    <row r="127" spans="1:52">
      <c r="A127">
        <f>HYPERLINK("https://edge.metroleads.com/companies/0c7e9033-589f-47bc-8bd1-ed16f4709436/leads#/lead/e5ec671f-1282-461b-b82c-c1432f30ece2", "e5ec671f-1282-461b-b82c-c1432f30ece2")</f>
        <v/>
      </c>
      <c r="B127" t="s">
        <v>824</v>
      </c>
      <c r="C127" t="s">
        <v>54</v>
      </c>
      <c r="D127" t="s">
        <v>825</v>
      </c>
      <c r="E127" t="s">
        <v>51</v>
      </c>
      <c r="F127" t="s">
        <v>103</v>
      </c>
      <c r="G127" t="s">
        <v>826</v>
      </c>
      <c r="H127" t="s">
        <v>119</v>
      </c>
      <c r="I127" t="s">
        <v>827</v>
      </c>
      <c r="J127" t="s">
        <v>828</v>
      </c>
      <c r="Q127" t="s">
        <v>52</v>
      </c>
      <c r="R127" t="s">
        <v>829</v>
      </c>
      <c r="S127" t="s">
        <v>830</v>
      </c>
      <c r="W127" t="s">
        <v>124</v>
      </c>
      <c r="X127" t="s">
        <v>124</v>
      </c>
      <c r="Y127" t="s">
        <v>124</v>
      </c>
      <c r="Z127" t="s">
        <v>58</v>
      </c>
      <c r="AA127" t="s">
        <v>254</v>
      </c>
      <c r="AB127" t="s">
        <v>71</v>
      </c>
      <c r="AC127" t="s">
        <v>658</v>
      </c>
      <c r="AD127" t="s">
        <v>127</v>
      </c>
      <c r="AE127" t="s">
        <v>87</v>
      </c>
      <c r="AG127" t="s">
        <v>339</v>
      </c>
      <c r="AH127" t="s">
        <v>825</v>
      </c>
    </row>
    <row r="128" spans="1:52">
      <c r="A128">
        <f>HYPERLINK("https://edge.metroleads.com/companies/0c7e9033-589f-47bc-8bd1-ed16f4709436/leads#/lead/8aa00fbd-c465-4b11-bf9b-d40a1e10f9c3", "8aa00fbd-c465-4b11-bf9b-d40a1e10f9c3")</f>
        <v/>
      </c>
      <c r="B128" t="s">
        <v>831</v>
      </c>
      <c r="C128" t="s">
        <v>54</v>
      </c>
      <c r="D128" t="s">
        <v>825</v>
      </c>
      <c r="E128" t="s">
        <v>51</v>
      </c>
      <c r="F128" t="s">
        <v>78</v>
      </c>
      <c r="G128" t="s">
        <v>832</v>
      </c>
      <c r="H128" t="s">
        <v>119</v>
      </c>
      <c r="I128" t="s">
        <v>792</v>
      </c>
      <c r="J128" t="s">
        <v>833</v>
      </c>
      <c r="W128" t="s">
        <v>124</v>
      </c>
      <c r="X128" t="s">
        <v>124</v>
      </c>
      <c r="Y128" t="s">
        <v>124</v>
      </c>
      <c r="Z128" t="s">
        <v>58</v>
      </c>
      <c r="AA128" t="s">
        <v>333</v>
      </c>
      <c r="AB128" t="s">
        <v>71</v>
      </c>
      <c r="AC128" t="s">
        <v>126</v>
      </c>
      <c r="AD128" t="s">
        <v>127</v>
      </c>
      <c r="AE128" t="s">
        <v>87</v>
      </c>
      <c r="AG128" t="s">
        <v>339</v>
      </c>
      <c r="AH128" t="s">
        <v>825</v>
      </c>
    </row>
    <row r="129" spans="1:52">
      <c r="A129">
        <f>HYPERLINK("https://edge.metroleads.com/companies/0c7e9033-589f-47bc-8bd1-ed16f4709436/leads#/lead/9f500703-5e0e-422c-8617-b33d64c637a8", "9f500703-5e0e-422c-8617-b33d64c637a8")</f>
        <v/>
      </c>
      <c r="B129" t="s">
        <v>834</v>
      </c>
      <c r="C129" t="s">
        <v>54</v>
      </c>
      <c r="D129" t="s">
        <v>50</v>
      </c>
      <c r="E129" t="s">
        <v>51</v>
      </c>
      <c r="F129" t="s">
        <v>52</v>
      </c>
      <c r="G129" t="s">
        <v>835</v>
      </c>
      <c r="H129" t="s">
        <v>65</v>
      </c>
      <c r="I129" t="s">
        <v>836</v>
      </c>
      <c r="J129" t="s">
        <v>837</v>
      </c>
      <c r="Y129" t="s">
        <v>57</v>
      </c>
      <c r="Z129" t="s">
        <v>83</v>
      </c>
      <c r="AC129" t="s">
        <v>59</v>
      </c>
      <c r="AG129" t="s">
        <v>339</v>
      </c>
      <c r="AT129" t="s">
        <v>62</v>
      </c>
      <c r="AU129" t="s">
        <v>63</v>
      </c>
    </row>
    <row r="130" spans="1:52">
      <c r="A130">
        <f>HYPERLINK("https://edge.metroleads.com/companies/0c7e9033-589f-47bc-8bd1-ed16f4709436/leads#/lead/6fb0a09b-d00c-4edb-9340-09e6e502a29e", "6fb0a09b-d00c-4edb-9340-09e6e502a29e")</f>
        <v/>
      </c>
      <c r="B130" t="s">
        <v>838</v>
      </c>
      <c r="C130" t="s">
        <v>54</v>
      </c>
      <c r="D130" t="s">
        <v>50</v>
      </c>
      <c r="E130" t="s">
        <v>51</v>
      </c>
      <c r="F130" t="s">
        <v>52</v>
      </c>
      <c r="G130" t="s">
        <v>839</v>
      </c>
      <c r="H130" t="s">
        <v>65</v>
      </c>
      <c r="I130" t="s">
        <v>840</v>
      </c>
      <c r="J130" t="s">
        <v>841</v>
      </c>
      <c r="Y130" t="s">
        <v>57</v>
      </c>
      <c r="Z130" t="s">
        <v>83</v>
      </c>
      <c r="AC130" t="s">
        <v>59</v>
      </c>
      <c r="AG130" t="s">
        <v>339</v>
      </c>
      <c r="AT130" t="s">
        <v>62</v>
      </c>
      <c r="AU130" t="s">
        <v>63</v>
      </c>
    </row>
    <row r="131" spans="1:52">
      <c r="A131">
        <f>HYPERLINK("https://edge.metroleads.com/companies/0c7e9033-589f-47bc-8bd1-ed16f4709436/leads#/lead/58a24b77-50a2-4dd0-b011-54491e260744", "58a24b77-50a2-4dd0-b011-54491e260744")</f>
        <v/>
      </c>
      <c r="B131" t="s">
        <v>842</v>
      </c>
      <c r="C131" t="s">
        <v>49</v>
      </c>
      <c r="D131" t="s">
        <v>50</v>
      </c>
      <c r="E131" t="s">
        <v>51</v>
      </c>
      <c r="F131" t="s">
        <v>679</v>
      </c>
      <c r="G131" t="s">
        <v>843</v>
      </c>
      <c r="H131" t="s">
        <v>65</v>
      </c>
      <c r="I131" t="s">
        <v>844</v>
      </c>
      <c r="J131" t="s">
        <v>845</v>
      </c>
      <c r="Q131" t="s">
        <v>399</v>
      </c>
      <c r="Y131" t="s">
        <v>57</v>
      </c>
      <c r="Z131" t="s">
        <v>58</v>
      </c>
      <c r="AC131" t="s">
        <v>59</v>
      </c>
      <c r="AG131" t="s">
        <v>339</v>
      </c>
      <c r="AT131" t="s">
        <v>62</v>
      </c>
      <c r="AU131" t="s">
        <v>63</v>
      </c>
    </row>
    <row r="132" spans="1:52">
      <c r="A132">
        <f>HYPERLINK("https://edge.metroleads.com/companies/0c7e9033-589f-47bc-8bd1-ed16f4709436/leads#/lead/3bf699ac-345b-4772-bf07-a1c7798cfe6b", "3bf699ac-345b-4772-bf07-a1c7798cfe6b")</f>
        <v/>
      </c>
      <c r="B132" t="s">
        <v>846</v>
      </c>
      <c r="C132" t="s">
        <v>65</v>
      </c>
      <c r="D132" t="s">
        <v>539</v>
      </c>
      <c r="E132" t="s">
        <v>51</v>
      </c>
      <c r="F132" t="s">
        <v>103</v>
      </c>
      <c r="G132" t="s">
        <v>847</v>
      </c>
      <c r="H132" t="s">
        <v>119</v>
      </c>
      <c r="I132" t="s">
        <v>848</v>
      </c>
      <c r="J132" t="s">
        <v>849</v>
      </c>
      <c r="Q132" t="s">
        <v>52</v>
      </c>
      <c r="R132" t="s">
        <v>850</v>
      </c>
      <c r="S132" t="s">
        <v>851</v>
      </c>
      <c r="T132" t="s">
        <v>852</v>
      </c>
      <c r="W132" t="s">
        <v>124</v>
      </c>
      <c r="X132" t="s">
        <v>124</v>
      </c>
      <c r="Y132" t="s">
        <v>124</v>
      </c>
      <c r="Z132" t="s">
        <v>83</v>
      </c>
      <c r="AA132" t="s">
        <v>125</v>
      </c>
      <c r="AB132" t="s">
        <v>71</v>
      </c>
      <c r="AC132" t="s">
        <v>126</v>
      </c>
      <c r="AD132" t="s">
        <v>127</v>
      </c>
      <c r="AE132" t="s">
        <v>87</v>
      </c>
      <c r="AG132" t="s">
        <v>339</v>
      </c>
      <c r="AH132" t="s">
        <v>539</v>
      </c>
      <c r="AI132" t="s">
        <v>54</v>
      </c>
      <c r="AY132" t="s">
        <v>636</v>
      </c>
    </row>
    <row r="133" spans="1:52">
      <c r="A133">
        <f>HYPERLINK("https://edge.metroleads.com/companies/0c7e9033-589f-47bc-8bd1-ed16f4709436/leads#/lead/aaa6da8f-e22e-455a-a1b2-4839023c55f6", "aaa6da8f-e22e-455a-a1b2-4839023c55f6")</f>
        <v/>
      </c>
      <c r="B133" t="s">
        <v>853</v>
      </c>
      <c r="C133" t="s">
        <v>49</v>
      </c>
      <c r="D133" t="s">
        <v>117</v>
      </c>
      <c r="E133" t="s">
        <v>51</v>
      </c>
      <c r="F133" t="s">
        <v>329</v>
      </c>
      <c r="G133" t="s">
        <v>854</v>
      </c>
      <c r="H133" t="s">
        <v>365</v>
      </c>
      <c r="I133" t="s">
        <v>855</v>
      </c>
      <c r="J133" t="s">
        <v>856</v>
      </c>
      <c r="W133" t="s">
        <v>124</v>
      </c>
      <c r="Z133" t="s">
        <v>58</v>
      </c>
      <c r="AA133" t="s">
        <v>223</v>
      </c>
      <c r="AB133" t="s">
        <v>71</v>
      </c>
      <c r="AC133" t="s">
        <v>185</v>
      </c>
      <c r="AD133" t="s">
        <v>127</v>
      </c>
      <c r="AE133" t="s">
        <v>87</v>
      </c>
      <c r="AG133" t="s">
        <v>242</v>
      </c>
      <c r="AJ133" t="s">
        <v>857</v>
      </c>
    </row>
    <row r="134" spans="1:52">
      <c r="A134">
        <f>HYPERLINK("https://edge.metroleads.com/companies/0c7e9033-589f-47bc-8bd1-ed16f4709436/leads#/lead/8e818cee-428f-4a01-a8f6-a05e78e3727d", "8e818cee-428f-4a01-a8f6-a05e78e3727d")</f>
        <v/>
      </c>
      <c r="B134" t="s">
        <v>858</v>
      </c>
      <c r="C134" t="s">
        <v>49</v>
      </c>
      <c r="D134" t="s">
        <v>117</v>
      </c>
      <c r="E134" t="s">
        <v>51</v>
      </c>
      <c r="F134" t="s">
        <v>621</v>
      </c>
      <c r="G134" t="s">
        <v>859</v>
      </c>
      <c r="H134" t="s">
        <v>54</v>
      </c>
      <c r="I134" t="s">
        <v>860</v>
      </c>
      <c r="J134" t="s">
        <v>861</v>
      </c>
      <c r="K134" t="s">
        <v>862</v>
      </c>
      <c r="Q134" t="s">
        <v>863</v>
      </c>
      <c r="W134" t="s">
        <v>124</v>
      </c>
      <c r="X134" t="s">
        <v>124</v>
      </c>
      <c r="Y134" t="s">
        <v>124</v>
      </c>
      <c r="Z134" t="s">
        <v>222</v>
      </c>
      <c r="AA134" t="s">
        <v>223</v>
      </c>
      <c r="AB134" t="s">
        <v>71</v>
      </c>
      <c r="AD134" t="s">
        <v>864</v>
      </c>
      <c r="AE134" t="s">
        <v>87</v>
      </c>
      <c r="AG134" t="s">
        <v>242</v>
      </c>
      <c r="AJ134" t="s">
        <v>865</v>
      </c>
      <c r="AN134" t="s">
        <v>515</v>
      </c>
      <c r="AO134" t="s">
        <v>866</v>
      </c>
      <c r="AQ134" t="s">
        <v>866</v>
      </c>
    </row>
    <row r="135" spans="1:52">
      <c r="A135">
        <f>HYPERLINK("https://edge.metroleads.com/companies/0c7e9033-589f-47bc-8bd1-ed16f4709436/leads#/lead/0cfbf220-77f4-40b9-b68d-e02177ea2b9c", "0cfbf220-77f4-40b9-b68d-e02177ea2b9c")</f>
        <v/>
      </c>
      <c r="B135" t="s">
        <v>867</v>
      </c>
      <c r="C135" t="s">
        <v>65</v>
      </c>
      <c r="D135" t="s">
        <v>117</v>
      </c>
      <c r="E135" t="s">
        <v>51</v>
      </c>
      <c r="F135" t="s">
        <v>103</v>
      </c>
      <c r="G135" t="s">
        <v>868</v>
      </c>
      <c r="H135" t="s">
        <v>119</v>
      </c>
      <c r="I135" t="s">
        <v>869</v>
      </c>
      <c r="J135" t="s">
        <v>870</v>
      </c>
      <c r="R135" t="s">
        <v>871</v>
      </c>
      <c r="S135" t="s">
        <v>872</v>
      </c>
      <c r="T135" t="s">
        <v>873</v>
      </c>
      <c r="W135" t="s">
        <v>124</v>
      </c>
      <c r="Z135" t="s">
        <v>58</v>
      </c>
      <c r="AA135" t="s">
        <v>254</v>
      </c>
      <c r="AB135" t="s">
        <v>71</v>
      </c>
      <c r="AC135" t="s">
        <v>185</v>
      </c>
      <c r="AD135" t="s">
        <v>127</v>
      </c>
      <c r="AE135" t="s">
        <v>87</v>
      </c>
      <c r="AG135" t="s">
        <v>242</v>
      </c>
      <c r="AJ135" t="s">
        <v>865</v>
      </c>
    </row>
    <row r="136" spans="1:52">
      <c r="A136">
        <f>HYPERLINK("https://edge.metroleads.com/companies/0c7e9033-589f-47bc-8bd1-ed16f4709436/leads#/lead/cd8f3c20-9b9a-4b4d-91ac-6dfb3e5f8e6f", "cd8f3c20-9b9a-4b4d-91ac-6dfb3e5f8e6f")</f>
        <v/>
      </c>
      <c r="B136" t="s">
        <v>874</v>
      </c>
      <c r="C136" t="s">
        <v>65</v>
      </c>
      <c r="D136" t="s">
        <v>117</v>
      </c>
      <c r="E136" t="s">
        <v>51</v>
      </c>
      <c r="F136" t="s">
        <v>875</v>
      </c>
      <c r="G136" t="s">
        <v>876</v>
      </c>
      <c r="H136" t="s">
        <v>54</v>
      </c>
      <c r="I136" t="s">
        <v>877</v>
      </c>
      <c r="J136" t="s">
        <v>878</v>
      </c>
      <c r="K136" t="s">
        <v>879</v>
      </c>
      <c r="W136" t="s">
        <v>880</v>
      </c>
      <c r="X136" t="s">
        <v>124</v>
      </c>
      <c r="Z136" t="s">
        <v>83</v>
      </c>
      <c r="AA136" t="s">
        <v>125</v>
      </c>
      <c r="AB136" t="s">
        <v>71</v>
      </c>
      <c r="AC136" t="s">
        <v>126</v>
      </c>
      <c r="AD136" t="s">
        <v>735</v>
      </c>
      <c r="AE136" t="s">
        <v>87</v>
      </c>
      <c r="AG136" t="s">
        <v>242</v>
      </c>
      <c r="AJ136" t="s">
        <v>881</v>
      </c>
      <c r="AP136" t="s">
        <v>812</v>
      </c>
    </row>
    <row r="137" spans="1:52">
      <c r="A137">
        <f>HYPERLINK("https://edge.metroleads.com/companies/0c7e9033-589f-47bc-8bd1-ed16f4709436/leads#/lead/e05d67a9-6fd6-4fd0-92e4-0b02440b5f0d", "e05d67a9-6fd6-4fd0-92e4-0b02440b5f0d")</f>
        <v/>
      </c>
      <c r="B137" t="s">
        <v>882</v>
      </c>
      <c r="C137" t="s">
        <v>119</v>
      </c>
      <c r="D137" t="s">
        <v>825</v>
      </c>
      <c r="E137" t="s">
        <v>51</v>
      </c>
      <c r="F137" t="s"/>
      <c r="G137" t="s">
        <v>883</v>
      </c>
      <c r="H137" t="s"/>
      <c r="I137" t="s"/>
      <c r="J137" t="s">
        <v>884</v>
      </c>
      <c r="L137" t="s">
        <v>885</v>
      </c>
      <c r="Q137" t="s">
        <v>52</v>
      </c>
      <c r="R137" t="s">
        <v>886</v>
      </c>
      <c r="S137" t="s">
        <v>887</v>
      </c>
      <c r="W137" t="s">
        <v>124</v>
      </c>
      <c r="X137" t="s">
        <v>124</v>
      </c>
      <c r="Y137" t="s">
        <v>124</v>
      </c>
      <c r="Z137" t="s">
        <v>222</v>
      </c>
      <c r="AA137" t="s">
        <v>333</v>
      </c>
      <c r="AB137" t="s">
        <v>71</v>
      </c>
      <c r="AC137" t="s">
        <v>126</v>
      </c>
      <c r="AD137" t="s">
        <v>127</v>
      </c>
      <c r="AG137" t="s">
        <v>242</v>
      </c>
      <c r="AH137" t="s">
        <v>825</v>
      </c>
    </row>
    <row r="138" spans="1:52">
      <c r="A138">
        <f>HYPERLINK("https://edge.metroleads.com/companies/0c7e9033-589f-47bc-8bd1-ed16f4709436/leads#/lead/8a780bd4-33b2-42dc-9db9-4d8c072b876b", "8a780bd4-33b2-42dc-9db9-4d8c072b876b")</f>
        <v/>
      </c>
      <c r="B138" t="s">
        <v>888</v>
      </c>
      <c r="C138" t="s">
        <v>49</v>
      </c>
      <c r="D138" t="s">
        <v>825</v>
      </c>
      <c r="E138" t="s">
        <v>51</v>
      </c>
      <c r="F138" t="s">
        <v>621</v>
      </c>
      <c r="G138" t="s">
        <v>889</v>
      </c>
      <c r="H138" t="s">
        <v>54</v>
      </c>
      <c r="I138" t="s">
        <v>890</v>
      </c>
      <c r="J138" t="s">
        <v>891</v>
      </c>
      <c r="K138" t="s">
        <v>892</v>
      </c>
      <c r="Q138" t="s">
        <v>893</v>
      </c>
      <c r="W138" t="s">
        <v>57</v>
      </c>
      <c r="X138" t="s">
        <v>124</v>
      </c>
      <c r="Y138" t="s">
        <v>124</v>
      </c>
      <c r="Z138" t="s">
        <v>222</v>
      </c>
      <c r="AA138" t="s">
        <v>254</v>
      </c>
      <c r="AB138" t="s">
        <v>71</v>
      </c>
      <c r="AC138" t="s">
        <v>185</v>
      </c>
      <c r="AD138" t="s">
        <v>127</v>
      </c>
      <c r="AG138" t="s">
        <v>242</v>
      </c>
      <c r="AH138" t="s">
        <v>825</v>
      </c>
      <c r="AN138" t="s">
        <v>515</v>
      </c>
      <c r="AO138" t="s">
        <v>894</v>
      </c>
    </row>
    <row r="139" spans="1:52">
      <c r="A139">
        <f>HYPERLINK("https://edge.metroleads.com/companies/0c7e9033-589f-47bc-8bd1-ed16f4709436/leads#/lead/9b6044cf-b54a-40da-a337-ae5bb7cc63c9", "9b6044cf-b54a-40da-a337-ae5bb7cc63c9")</f>
        <v/>
      </c>
      <c r="B139" t="s">
        <v>895</v>
      </c>
      <c r="C139" t="s">
        <v>54</v>
      </c>
      <c r="D139" t="s">
        <v>211</v>
      </c>
      <c r="E139" t="s">
        <v>51</v>
      </c>
      <c r="F139" t="s">
        <v>161</v>
      </c>
      <c r="G139" t="s">
        <v>896</v>
      </c>
      <c r="H139" t="s">
        <v>65</v>
      </c>
      <c r="I139" t="s">
        <v>897</v>
      </c>
      <c r="J139" t="s">
        <v>898</v>
      </c>
      <c r="Y139" t="s">
        <v>57</v>
      </c>
      <c r="Z139" t="s">
        <v>83</v>
      </c>
      <c r="AC139" t="s">
        <v>149</v>
      </c>
      <c r="AG139" t="s">
        <v>61</v>
      </c>
      <c r="AT139" t="s">
        <v>62</v>
      </c>
      <c r="AU139" t="s">
        <v>63</v>
      </c>
    </row>
    <row r="140" spans="1:52">
      <c r="A140">
        <f>HYPERLINK("https://edge.metroleads.com/companies/0c7e9033-589f-47bc-8bd1-ed16f4709436/leads#/lead/dde1a68a-4d12-4c87-b499-22aa2fd11513", "dde1a68a-4d12-4c87-b499-22aa2fd11513")</f>
        <v/>
      </c>
      <c r="B140" t="s">
        <v>899</v>
      </c>
      <c r="C140" t="s">
        <v>365</v>
      </c>
      <c r="D140" t="s">
        <v>117</v>
      </c>
      <c r="E140" t="s">
        <v>51</v>
      </c>
      <c r="F140" t="s"/>
      <c r="G140" t="s">
        <v>616</v>
      </c>
      <c r="H140" t="s">
        <v>65</v>
      </c>
      <c r="I140" t="s">
        <v>900</v>
      </c>
      <c r="J140" t="s">
        <v>901</v>
      </c>
      <c r="R140" t="s">
        <v>902</v>
      </c>
      <c r="S140" t="s">
        <v>903</v>
      </c>
      <c r="T140" t="s">
        <v>904</v>
      </c>
      <c r="W140" t="s">
        <v>124</v>
      </c>
      <c r="Z140" t="s">
        <v>58</v>
      </c>
      <c r="AA140" t="s">
        <v>223</v>
      </c>
      <c r="AB140" t="s">
        <v>71</v>
      </c>
      <c r="AC140" t="s">
        <v>185</v>
      </c>
      <c r="AD140" t="s">
        <v>127</v>
      </c>
      <c r="AE140" t="s">
        <v>87</v>
      </c>
      <c r="AG140" t="s">
        <v>264</v>
      </c>
      <c r="AJ140" t="s">
        <v>905</v>
      </c>
    </row>
    <row r="141" spans="1:52">
      <c r="A141">
        <f>HYPERLINK("https://edge.metroleads.com/companies/0c7e9033-589f-47bc-8bd1-ed16f4709436/leads#/lead/f34838ae-dfb5-4dd2-85b3-b0df053dffab", "f34838ae-dfb5-4dd2-85b3-b0df053dffab")</f>
        <v/>
      </c>
      <c r="B141" t="s">
        <v>906</v>
      </c>
      <c r="C141" t="s">
        <v>678</v>
      </c>
      <c r="D141" t="s">
        <v>244</v>
      </c>
      <c r="E141" t="s">
        <v>51</v>
      </c>
      <c r="F141" t="s">
        <v>236</v>
      </c>
      <c r="G141" t="s">
        <v>907</v>
      </c>
      <c r="H141" t="s">
        <v>54</v>
      </c>
      <c r="I141" t="s">
        <v>908</v>
      </c>
      <c r="J141" t="s">
        <v>909</v>
      </c>
      <c r="K141" t="s">
        <v>910</v>
      </c>
      <c r="W141" t="s">
        <v>57</v>
      </c>
      <c r="Y141" t="s">
        <v>57</v>
      </c>
      <c r="Z141" t="s">
        <v>83</v>
      </c>
      <c r="AA141" t="s">
        <v>333</v>
      </c>
      <c r="AB141" t="s">
        <v>421</v>
      </c>
      <c r="AC141" t="s">
        <v>149</v>
      </c>
      <c r="AD141" t="s">
        <v>275</v>
      </c>
      <c r="AE141" t="s">
        <v>87</v>
      </c>
      <c r="AG141" t="s">
        <v>911</v>
      </c>
      <c r="AT141" t="s">
        <v>62</v>
      </c>
      <c r="AU141" t="s">
        <v>276</v>
      </c>
      <c r="AZ141" t="s">
        <v>265</v>
      </c>
    </row>
    <row r="142" spans="1:52">
      <c r="A142">
        <f>HYPERLINK("https://edge.metroleads.com/companies/0c7e9033-589f-47bc-8bd1-ed16f4709436/leads#/lead/5bd7af05-9cc5-4997-8cd1-cd02a38bb893", "5bd7af05-9cc5-4997-8cd1-cd02a38bb893")</f>
        <v/>
      </c>
      <c r="B142" t="s">
        <v>912</v>
      </c>
      <c r="C142" t="s">
        <v>54</v>
      </c>
      <c r="D142" t="s">
        <v>825</v>
      </c>
      <c r="E142" t="s">
        <v>51</v>
      </c>
      <c r="F142" t="s">
        <v>78</v>
      </c>
      <c r="G142" t="s">
        <v>913</v>
      </c>
      <c r="H142" t="s">
        <v>119</v>
      </c>
      <c r="I142" t="s">
        <v>914</v>
      </c>
      <c r="J142" t="s">
        <v>915</v>
      </c>
      <c r="W142" t="s">
        <v>124</v>
      </c>
      <c r="X142" t="s">
        <v>124</v>
      </c>
      <c r="Y142" t="s">
        <v>124</v>
      </c>
      <c r="Z142" t="s">
        <v>222</v>
      </c>
      <c r="AA142" t="s">
        <v>333</v>
      </c>
      <c r="AB142" t="s">
        <v>71</v>
      </c>
      <c r="AC142" t="s">
        <v>185</v>
      </c>
      <c r="AD142" t="s">
        <v>127</v>
      </c>
      <c r="AG142" t="s">
        <v>242</v>
      </c>
      <c r="AH142" t="s">
        <v>825</v>
      </c>
    </row>
    <row r="143" spans="1:52">
      <c r="A143">
        <f>HYPERLINK("https://edge.metroleads.com/companies/0c7e9033-589f-47bc-8bd1-ed16f4709436/leads#/lead/35d906a0-e719-4f46-bab5-5b011a861984", "35d906a0-e719-4f46-bab5-5b011a861984")</f>
        <v/>
      </c>
      <c r="B143" t="s">
        <v>916</v>
      </c>
      <c r="C143" t="s">
        <v>65</v>
      </c>
      <c r="D143" t="s">
        <v>825</v>
      </c>
      <c r="E143" t="s">
        <v>51</v>
      </c>
      <c r="F143" t="s">
        <v>103</v>
      </c>
      <c r="G143" t="s">
        <v>917</v>
      </c>
      <c r="H143" t="s">
        <v>119</v>
      </c>
      <c r="I143" t="s">
        <v>918</v>
      </c>
      <c r="J143" t="s">
        <v>919</v>
      </c>
      <c r="R143" t="s">
        <v>920</v>
      </c>
      <c r="S143" t="s">
        <v>921</v>
      </c>
      <c r="X143" t="s">
        <v>124</v>
      </c>
      <c r="Y143" t="s">
        <v>124</v>
      </c>
      <c r="Z143" t="s">
        <v>83</v>
      </c>
      <c r="AA143" t="s">
        <v>333</v>
      </c>
      <c r="AB143" t="s">
        <v>71</v>
      </c>
      <c r="AC143" t="s">
        <v>126</v>
      </c>
      <c r="AD143" t="s">
        <v>127</v>
      </c>
      <c r="AG143" t="s">
        <v>242</v>
      </c>
      <c r="AH143" t="s">
        <v>825</v>
      </c>
    </row>
    <row r="144" spans="1:52">
      <c r="A144">
        <f>HYPERLINK("https://edge.metroleads.com/companies/0c7e9033-589f-47bc-8bd1-ed16f4709436/leads#/lead/aff542bc-e11e-421b-91b9-1cc486d055b6", "aff542bc-e11e-421b-91b9-1cc486d055b6")</f>
        <v/>
      </c>
      <c r="B144" t="s">
        <v>922</v>
      </c>
      <c r="C144" t="s">
        <v>365</v>
      </c>
      <c r="D144" t="s">
        <v>117</v>
      </c>
      <c r="E144" t="s">
        <v>51</v>
      </c>
      <c r="F144" t="s">
        <v>923</v>
      </c>
      <c r="G144" t="s">
        <v>405</v>
      </c>
      <c r="H144" t="s">
        <v>49</v>
      </c>
      <c r="I144" t="s">
        <v>924</v>
      </c>
      <c r="J144" t="s">
        <v>925</v>
      </c>
      <c r="K144" t="s">
        <v>926</v>
      </c>
      <c r="R144" t="s">
        <v>927</v>
      </c>
      <c r="S144" t="s">
        <v>532</v>
      </c>
      <c r="T144" t="s">
        <v>928</v>
      </c>
      <c r="W144" t="s">
        <v>400</v>
      </c>
      <c r="Z144" t="s">
        <v>222</v>
      </c>
      <c r="AA144" t="s">
        <v>223</v>
      </c>
      <c r="AB144" t="s">
        <v>71</v>
      </c>
      <c r="AC144" t="s">
        <v>185</v>
      </c>
      <c r="AD144" t="s">
        <v>127</v>
      </c>
      <c r="AE144" t="s">
        <v>87</v>
      </c>
      <c r="AG144" t="s">
        <v>565</v>
      </c>
      <c r="AI144" t="s">
        <v>49</v>
      </c>
      <c r="AJ144" t="s">
        <v>929</v>
      </c>
    </row>
    <row r="145" spans="1:52">
      <c r="A145">
        <f>HYPERLINK("https://edge.metroleads.com/companies/0c7e9033-589f-47bc-8bd1-ed16f4709436/leads#/lead/dad617df-5ceb-42a0-a1c6-5575ec083952", "dad617df-5ceb-42a0-a1c6-5575ec083952")</f>
        <v/>
      </c>
      <c r="B145" t="s">
        <v>930</v>
      </c>
      <c r="C145" t="s">
        <v>54</v>
      </c>
      <c r="D145" t="s">
        <v>825</v>
      </c>
      <c r="E145" t="s">
        <v>51</v>
      </c>
      <c r="F145" t="s">
        <v>931</v>
      </c>
      <c r="G145" t="s">
        <v>932</v>
      </c>
      <c r="H145" t="s">
        <v>119</v>
      </c>
      <c r="I145" t="s">
        <v>933</v>
      </c>
      <c r="J145" t="s">
        <v>934</v>
      </c>
      <c r="K145" t="s">
        <v>935</v>
      </c>
      <c r="Q145" t="s">
        <v>52</v>
      </c>
      <c r="R145" t="s">
        <v>936</v>
      </c>
      <c r="S145" t="s">
        <v>937</v>
      </c>
      <c r="W145" t="s">
        <v>938</v>
      </c>
      <c r="X145" t="s">
        <v>124</v>
      </c>
      <c r="Z145" t="s">
        <v>83</v>
      </c>
      <c r="AE145" t="s">
        <v>87</v>
      </c>
      <c r="AG145" t="s">
        <v>128</v>
      </c>
      <c r="AH145" t="s">
        <v>825</v>
      </c>
      <c r="AM145" t="s">
        <v>151</v>
      </c>
      <c r="AP145" t="s">
        <v>812</v>
      </c>
    </row>
    <row r="146" spans="1:52">
      <c r="A146">
        <f>HYPERLINK("https://edge.metroleads.com/companies/0c7e9033-589f-47bc-8bd1-ed16f4709436/leads#/lead/ecf314ca-7720-4422-8b06-6f43a0b4aa93", "ecf314ca-7720-4422-8b06-6f43a0b4aa93")</f>
        <v/>
      </c>
      <c r="B146" t="s">
        <v>939</v>
      </c>
      <c r="C146" t="s">
        <v>54</v>
      </c>
      <c r="D146" t="s">
        <v>825</v>
      </c>
      <c r="E146" t="s">
        <v>51</v>
      </c>
      <c r="F146" t="s">
        <v>78</v>
      </c>
      <c r="G146" t="s">
        <v>940</v>
      </c>
      <c r="H146" t="s">
        <v>119</v>
      </c>
      <c r="I146" t="s">
        <v>941</v>
      </c>
      <c r="J146" t="s">
        <v>942</v>
      </c>
      <c r="W146" t="s">
        <v>124</v>
      </c>
      <c r="X146" t="s">
        <v>124</v>
      </c>
      <c r="Y146" t="s">
        <v>124</v>
      </c>
      <c r="Z146" t="s">
        <v>83</v>
      </c>
      <c r="AA146" t="s">
        <v>333</v>
      </c>
      <c r="AB146" t="s">
        <v>71</v>
      </c>
      <c r="AC146" t="s">
        <v>126</v>
      </c>
      <c r="AD146" t="s">
        <v>127</v>
      </c>
      <c r="AG146" t="s">
        <v>128</v>
      </c>
      <c r="AH146" t="s">
        <v>825</v>
      </c>
    </row>
    <row r="147" spans="1:52">
      <c r="A147">
        <f>HYPERLINK("https://edge.metroleads.com/companies/0c7e9033-589f-47bc-8bd1-ed16f4709436/leads#/lead/d14ebed4-ce2a-40fd-a1b5-d287c4fd7569", "d14ebed4-ce2a-40fd-a1b5-d287c4fd7569")</f>
        <v/>
      </c>
      <c r="B147" t="s">
        <v>943</v>
      </c>
      <c r="C147" t="s">
        <v>54</v>
      </c>
      <c r="D147" t="s">
        <v>825</v>
      </c>
      <c r="E147" t="s">
        <v>51</v>
      </c>
      <c r="F147" t="s">
        <v>103</v>
      </c>
      <c r="G147" t="s">
        <v>944</v>
      </c>
      <c r="H147" t="s">
        <v>119</v>
      </c>
      <c r="I147" t="s">
        <v>945</v>
      </c>
      <c r="J147" t="s">
        <v>946</v>
      </c>
      <c r="R147" t="s">
        <v>947</v>
      </c>
      <c r="S147" t="s">
        <v>948</v>
      </c>
      <c r="T147" t="s">
        <v>949</v>
      </c>
      <c r="W147" t="s">
        <v>124</v>
      </c>
      <c r="X147" t="s">
        <v>124</v>
      </c>
      <c r="Y147" t="s">
        <v>124</v>
      </c>
      <c r="Z147" t="s">
        <v>83</v>
      </c>
      <c r="AA147" t="s">
        <v>333</v>
      </c>
      <c r="AB147" t="s">
        <v>71</v>
      </c>
      <c r="AC147" t="s">
        <v>126</v>
      </c>
      <c r="AD147" t="s">
        <v>127</v>
      </c>
      <c r="AG147" t="s">
        <v>128</v>
      </c>
      <c r="AH147" t="s">
        <v>825</v>
      </c>
    </row>
    <row r="148" spans="1:52">
      <c r="A148">
        <f>HYPERLINK("https://edge.metroleads.com/companies/0c7e9033-589f-47bc-8bd1-ed16f4709436/leads#/lead/7e260f6a-2927-4275-9afa-41d6e3a33b9b", "7e260f6a-2927-4275-9afa-41d6e3a33b9b")</f>
        <v/>
      </c>
      <c r="B148" t="s">
        <v>950</v>
      </c>
      <c r="C148" t="s">
        <v>65</v>
      </c>
      <c r="D148" t="s">
        <v>539</v>
      </c>
      <c r="E148" t="s">
        <v>51</v>
      </c>
      <c r="F148" t="s">
        <v>103</v>
      </c>
      <c r="G148" t="s">
        <v>951</v>
      </c>
      <c r="H148" t="s">
        <v>119</v>
      </c>
      <c r="I148" t="s">
        <v>952</v>
      </c>
      <c r="J148" t="s">
        <v>953</v>
      </c>
      <c r="Q148" t="s">
        <v>52</v>
      </c>
      <c r="R148" t="s">
        <v>954</v>
      </c>
      <c r="S148" t="s">
        <v>955</v>
      </c>
      <c r="T148" t="s">
        <v>956</v>
      </c>
      <c r="W148" t="s">
        <v>124</v>
      </c>
      <c r="X148" t="s">
        <v>124</v>
      </c>
      <c r="Y148" t="s">
        <v>124</v>
      </c>
      <c r="Z148" t="s">
        <v>222</v>
      </c>
      <c r="AA148" t="s">
        <v>333</v>
      </c>
      <c r="AB148" t="s">
        <v>71</v>
      </c>
      <c r="AC148" t="s">
        <v>185</v>
      </c>
      <c r="AD148" t="s">
        <v>127</v>
      </c>
      <c r="AE148" t="s">
        <v>87</v>
      </c>
      <c r="AG148" t="s">
        <v>128</v>
      </c>
      <c r="AH148" t="s">
        <v>539</v>
      </c>
      <c r="AI148" t="s">
        <v>54</v>
      </c>
    </row>
    <row r="149" spans="1:52">
      <c r="A149">
        <f>HYPERLINK("https://edge.metroleads.com/companies/0c7e9033-589f-47bc-8bd1-ed16f4709436/leads#/lead/159dfe67-9873-4099-9e6b-2daba0fe5076", "159dfe67-9873-4099-9e6b-2daba0fe5076")</f>
        <v/>
      </c>
      <c r="B149" t="s">
        <v>957</v>
      </c>
      <c r="C149" t="s">
        <v>34</v>
      </c>
      <c r="D149" t="s">
        <v>66</v>
      </c>
      <c r="E149" t="s">
        <v>51</v>
      </c>
      <c r="F149" t="s">
        <v>103</v>
      </c>
      <c r="G149" t="s">
        <v>958</v>
      </c>
      <c r="H149" t="s">
        <v>54</v>
      </c>
      <c r="I149" t="s">
        <v>959</v>
      </c>
      <c r="J149" t="s">
        <v>960</v>
      </c>
      <c r="R149" t="s">
        <v>961</v>
      </c>
      <c r="S149" t="s">
        <v>962</v>
      </c>
      <c r="T149" t="s">
        <v>963</v>
      </c>
      <c r="W149" t="s">
        <v>69</v>
      </c>
      <c r="X149" t="s">
        <v>69</v>
      </c>
      <c r="Z149" t="s">
        <v>203</v>
      </c>
      <c r="AA149" t="s">
        <v>469</v>
      </c>
      <c r="AB149" t="s">
        <v>71</v>
      </c>
      <c r="AC149" t="s">
        <v>506</v>
      </c>
      <c r="AD149" t="s">
        <v>86</v>
      </c>
      <c r="AE149" t="s">
        <v>87</v>
      </c>
      <c r="AG149" t="s">
        <v>597</v>
      </c>
      <c r="AH149" t="s">
        <v>66</v>
      </c>
      <c r="AM149" t="s">
        <v>113</v>
      </c>
    </row>
    <row r="150" spans="1:52">
      <c r="A150">
        <f>HYPERLINK("https://edge.metroleads.com/companies/0c7e9033-589f-47bc-8bd1-ed16f4709436/leads#/lead/11ebb9b8-fd1a-4a48-bfc0-b4b2ffa18ed4", "11ebb9b8-fd1a-4a48-bfc0-b4b2ffa18ed4")</f>
        <v/>
      </c>
      <c r="B150" t="s">
        <v>964</v>
      </c>
      <c r="C150" t="s">
        <v>65</v>
      </c>
      <c r="D150" t="s">
        <v>244</v>
      </c>
      <c r="E150" t="s">
        <v>965</v>
      </c>
      <c r="F150" t="s">
        <v>966</v>
      </c>
      <c r="G150" t="s">
        <v>967</v>
      </c>
      <c r="H150" t="s">
        <v>119</v>
      </c>
      <c r="I150" t="s">
        <v>968</v>
      </c>
      <c r="J150" t="s">
        <v>969</v>
      </c>
      <c r="K150" t="s">
        <v>970</v>
      </c>
      <c r="Y150" t="s">
        <v>57</v>
      </c>
      <c r="Z150" t="s">
        <v>83</v>
      </c>
      <c r="AC150" t="s">
        <v>59</v>
      </c>
      <c r="AG150" t="s">
        <v>128</v>
      </c>
      <c r="AT150" t="s">
        <v>62</v>
      </c>
      <c r="AU150" t="s">
        <v>63</v>
      </c>
    </row>
    <row r="151" spans="1:52">
      <c r="A151">
        <f>HYPERLINK("https://edge.metroleads.com/companies/0c7e9033-589f-47bc-8bd1-ed16f4709436/leads#/lead/352c21ef-a682-4f46-93e7-ed373d0f6293", "352c21ef-a682-4f46-93e7-ed373d0f6293")</f>
        <v/>
      </c>
      <c r="B151" t="s">
        <v>971</v>
      </c>
      <c r="C151" t="s">
        <v>54</v>
      </c>
      <c r="D151" t="s">
        <v>50</v>
      </c>
      <c r="E151" t="s">
        <v>51</v>
      </c>
      <c r="F151" t="s">
        <v>52</v>
      </c>
      <c r="G151" t="s">
        <v>972</v>
      </c>
      <c r="H151" t="s">
        <v>49</v>
      </c>
      <c r="I151" t="s">
        <v>212</v>
      </c>
      <c r="J151" t="s">
        <v>973</v>
      </c>
      <c r="Y151" t="s">
        <v>57</v>
      </c>
      <c r="Z151" t="s">
        <v>83</v>
      </c>
      <c r="AC151" t="s">
        <v>59</v>
      </c>
      <c r="AG151" t="s">
        <v>128</v>
      </c>
      <c r="AT151" t="s">
        <v>62</v>
      </c>
      <c r="AU151" t="s">
        <v>63</v>
      </c>
    </row>
    <row r="152" spans="1:52">
      <c r="A152">
        <f>HYPERLINK("https://edge.metroleads.com/companies/0c7e9033-589f-47bc-8bd1-ed16f4709436/leads#/lead/20b3e4d8-3926-4336-8292-5671776169e1", "20b3e4d8-3926-4336-8292-5671776169e1")</f>
        <v/>
      </c>
      <c r="B152" t="s">
        <v>974</v>
      </c>
      <c r="C152" t="s">
        <v>391</v>
      </c>
      <c r="D152" t="s">
        <v>50</v>
      </c>
      <c r="E152" t="s">
        <v>51</v>
      </c>
      <c r="F152" t="s">
        <v>52</v>
      </c>
      <c r="G152" t="s">
        <v>975</v>
      </c>
      <c r="H152" t="s">
        <v>65</v>
      </c>
      <c r="I152" t="s">
        <v>976</v>
      </c>
      <c r="J152" t="s">
        <v>977</v>
      </c>
      <c r="K152" t="s">
        <v>978</v>
      </c>
      <c r="Y152" t="s">
        <v>57</v>
      </c>
      <c r="Z152" t="s">
        <v>83</v>
      </c>
      <c r="AC152" t="s">
        <v>59</v>
      </c>
      <c r="AD152" t="s">
        <v>275</v>
      </c>
      <c r="AG152" t="s">
        <v>911</v>
      </c>
      <c r="AT152" t="s">
        <v>62</v>
      </c>
      <c r="AU152" t="s">
        <v>276</v>
      </c>
    </row>
    <row r="153" spans="1:52">
      <c r="A153">
        <f>HYPERLINK("https://edge.metroleads.com/companies/0c7e9033-589f-47bc-8bd1-ed16f4709436/leads#/lead/72b15a0b-1e94-421f-929c-270baf6d4da8", "72b15a0b-1e94-421f-929c-270baf6d4da8")</f>
        <v/>
      </c>
      <c r="B153" t="s">
        <v>979</v>
      </c>
      <c r="C153" t="s">
        <v>49</v>
      </c>
      <c r="D153" t="s">
        <v>825</v>
      </c>
      <c r="E153" t="s">
        <v>51</v>
      </c>
      <c r="F153" t="s">
        <v>78</v>
      </c>
      <c r="G153" t="s">
        <v>980</v>
      </c>
      <c r="H153" t="s">
        <v>119</v>
      </c>
      <c r="I153" t="s">
        <v>981</v>
      </c>
      <c r="J153" t="s">
        <v>982</v>
      </c>
      <c r="W153" t="s">
        <v>124</v>
      </c>
      <c r="X153" t="s">
        <v>124</v>
      </c>
      <c r="Y153" t="s">
        <v>124</v>
      </c>
      <c r="Z153" t="s">
        <v>83</v>
      </c>
      <c r="AA153" t="s">
        <v>333</v>
      </c>
      <c r="AB153" t="s">
        <v>421</v>
      </c>
      <c r="AG153" t="s">
        <v>150</v>
      </c>
      <c r="AH153" t="s">
        <v>825</v>
      </c>
      <c r="AK153" t="s">
        <v>428</v>
      </c>
    </row>
    <row r="154" spans="1:52">
      <c r="A154">
        <f>HYPERLINK("https://edge.metroleads.com/companies/0c7e9033-589f-47bc-8bd1-ed16f4709436/leads#/lead/a22fa6f0-a2c0-48e7-8c59-cdf9926b9eef", "a22fa6f0-a2c0-48e7-8c59-cdf9926b9eef")</f>
        <v/>
      </c>
      <c r="B154" t="s">
        <v>983</v>
      </c>
      <c r="C154" t="s">
        <v>49</v>
      </c>
      <c r="D154" t="s">
        <v>117</v>
      </c>
      <c r="E154" t="s">
        <v>51</v>
      </c>
      <c r="F154" t="s">
        <v>103</v>
      </c>
      <c r="G154" t="s">
        <v>984</v>
      </c>
      <c r="H154" t="s">
        <v>65</v>
      </c>
      <c r="I154" t="s">
        <v>985</v>
      </c>
      <c r="J154" t="s">
        <v>986</v>
      </c>
      <c r="R154" t="s">
        <v>987</v>
      </c>
      <c r="S154" t="s">
        <v>988</v>
      </c>
      <c r="T154" t="s">
        <v>989</v>
      </c>
      <c r="W154" t="s">
        <v>124</v>
      </c>
      <c r="Z154" t="s">
        <v>83</v>
      </c>
      <c r="AA154" t="s">
        <v>125</v>
      </c>
      <c r="AB154" t="s">
        <v>71</v>
      </c>
      <c r="AC154" t="s">
        <v>126</v>
      </c>
      <c r="AD154" t="s">
        <v>197</v>
      </c>
      <c r="AE154" t="s">
        <v>87</v>
      </c>
      <c r="AG154" t="s">
        <v>990</v>
      </c>
      <c r="AJ154" t="s">
        <v>991</v>
      </c>
    </row>
    <row r="155" spans="1:52">
      <c r="A155">
        <f>HYPERLINK("https://edge.metroleads.com/companies/0c7e9033-589f-47bc-8bd1-ed16f4709436/leads#/lead/794d3ca4-a827-4817-8728-069605773f94", "794d3ca4-a827-4817-8728-069605773f94")</f>
        <v/>
      </c>
      <c r="B155" t="s">
        <v>992</v>
      </c>
      <c r="C155" t="s">
        <v>49</v>
      </c>
      <c r="D155" t="s">
        <v>117</v>
      </c>
      <c r="E155" t="s">
        <v>51</v>
      </c>
      <c r="F155" t="s">
        <v>103</v>
      </c>
      <c r="G155" t="s">
        <v>993</v>
      </c>
      <c r="H155" t="s">
        <v>365</v>
      </c>
      <c r="I155" t="s">
        <v>994</v>
      </c>
      <c r="J155" t="s">
        <v>995</v>
      </c>
      <c r="L155" t="s">
        <v>996</v>
      </c>
      <c r="R155" t="s">
        <v>997</v>
      </c>
      <c r="S155" t="s">
        <v>955</v>
      </c>
      <c r="T155" t="s">
        <v>956</v>
      </c>
      <c r="W155" t="s">
        <v>124</v>
      </c>
      <c r="X155" t="s">
        <v>124</v>
      </c>
      <c r="Z155" t="s">
        <v>58</v>
      </c>
      <c r="AA155" t="s">
        <v>254</v>
      </c>
      <c r="AB155" t="s">
        <v>71</v>
      </c>
      <c r="AC155" t="s">
        <v>185</v>
      </c>
      <c r="AD155" t="s">
        <v>864</v>
      </c>
      <c r="AE155" t="s">
        <v>87</v>
      </c>
      <c r="AG155" t="s">
        <v>428</v>
      </c>
      <c r="AJ155" t="s">
        <v>998</v>
      </c>
    </row>
    <row r="156" spans="1:52">
      <c r="A156">
        <f>HYPERLINK("https://edge.metroleads.com/companies/0c7e9033-589f-47bc-8bd1-ed16f4709436/leads#/lead/0535f53e-c4f0-4834-91b4-07912b438080", "0535f53e-c4f0-4834-91b4-07912b438080")</f>
        <v/>
      </c>
      <c r="B156" t="s">
        <v>999</v>
      </c>
      <c r="C156" t="s">
        <v>49</v>
      </c>
      <c r="D156" t="s">
        <v>117</v>
      </c>
      <c r="E156" t="s">
        <v>51</v>
      </c>
      <c r="F156" t="s">
        <v>103</v>
      </c>
      <c r="G156" t="s">
        <v>1000</v>
      </c>
      <c r="H156" t="s">
        <v>65</v>
      </c>
      <c r="I156" t="s">
        <v>1001</v>
      </c>
      <c r="J156" t="s">
        <v>1002</v>
      </c>
      <c r="R156" t="s">
        <v>1003</v>
      </c>
      <c r="S156" t="s">
        <v>1004</v>
      </c>
      <c r="T156" t="s">
        <v>1005</v>
      </c>
      <c r="W156" t="s">
        <v>124</v>
      </c>
      <c r="Z156" t="s">
        <v>222</v>
      </c>
      <c r="AA156" t="s">
        <v>254</v>
      </c>
      <c r="AB156" t="s">
        <v>71</v>
      </c>
      <c r="AC156" t="s">
        <v>185</v>
      </c>
      <c r="AD156" t="s">
        <v>864</v>
      </c>
      <c r="AE156" t="s">
        <v>87</v>
      </c>
      <c r="AG156" t="s">
        <v>264</v>
      </c>
      <c r="AJ156" t="s">
        <v>1006</v>
      </c>
    </row>
    <row r="157" spans="1:52">
      <c r="A157">
        <f>HYPERLINK("https://edge.metroleads.com/companies/0c7e9033-589f-47bc-8bd1-ed16f4709436/leads#/lead/42750c73-7741-4090-8d6e-f64cbc1199ba", "42750c73-7741-4090-8d6e-f64cbc1199ba")</f>
        <v/>
      </c>
      <c r="B157" t="s">
        <v>1007</v>
      </c>
      <c r="C157" t="s">
        <v>54</v>
      </c>
      <c r="D157" t="s">
        <v>66</v>
      </c>
      <c r="E157" t="s">
        <v>51</v>
      </c>
      <c r="F157" t="s">
        <v>78</v>
      </c>
      <c r="G157" t="s">
        <v>1008</v>
      </c>
      <c r="H157" t="s">
        <v>65</v>
      </c>
      <c r="I157" t="s">
        <v>1009</v>
      </c>
      <c r="J157" t="s">
        <v>1010</v>
      </c>
      <c r="W157" t="s">
        <v>69</v>
      </c>
      <c r="X157" t="s">
        <v>69</v>
      </c>
      <c r="Y157" t="s">
        <v>69</v>
      </c>
      <c r="Z157" t="s">
        <v>110</v>
      </c>
      <c r="AA157" t="s">
        <v>111</v>
      </c>
      <c r="AB157" t="s">
        <v>71</v>
      </c>
      <c r="AC157" t="s">
        <v>112</v>
      </c>
      <c r="AD157" t="s">
        <v>86</v>
      </c>
      <c r="AE157" t="s">
        <v>87</v>
      </c>
      <c r="AG157" t="s">
        <v>88</v>
      </c>
      <c r="AH157" t="s">
        <v>66</v>
      </c>
    </row>
    <row r="158" spans="1:52">
      <c r="A158">
        <f>HYPERLINK("https://edge.metroleads.com/companies/0c7e9033-589f-47bc-8bd1-ed16f4709436/leads#/lead/2f63b43e-d625-4b93-bcbe-ccf11ee4ae0b", "2f63b43e-d625-4b93-bcbe-ccf11ee4ae0b")</f>
        <v/>
      </c>
      <c r="B158" t="s">
        <v>1011</v>
      </c>
      <c r="C158" t="s">
        <v>34</v>
      </c>
      <c r="D158" t="s">
        <v>66</v>
      </c>
      <c r="E158" t="s">
        <v>51</v>
      </c>
      <c r="F158" t="s">
        <v>103</v>
      </c>
      <c r="G158" t="s">
        <v>1012</v>
      </c>
      <c r="H158" t="s">
        <v>54</v>
      </c>
      <c r="I158" t="s">
        <v>1013</v>
      </c>
      <c r="J158" t="s">
        <v>1014</v>
      </c>
      <c r="R158" t="s">
        <v>1015</v>
      </c>
      <c r="S158" t="s">
        <v>1016</v>
      </c>
      <c r="T158" t="s">
        <v>1017</v>
      </c>
      <c r="W158" t="s">
        <v>69</v>
      </c>
      <c r="X158" t="s">
        <v>69</v>
      </c>
      <c r="Z158" t="s">
        <v>110</v>
      </c>
      <c r="AA158" t="s">
        <v>1018</v>
      </c>
      <c r="AB158" t="s">
        <v>71</v>
      </c>
      <c r="AC158" t="s">
        <v>137</v>
      </c>
      <c r="AD158" t="s">
        <v>86</v>
      </c>
      <c r="AE158" t="s">
        <v>87</v>
      </c>
      <c r="AG158" t="s">
        <v>565</v>
      </c>
      <c r="AH158" t="s">
        <v>66</v>
      </c>
      <c r="AM158" t="s">
        <v>270</v>
      </c>
    </row>
    <row r="159" spans="1:52">
      <c r="A159">
        <f>HYPERLINK("https://edge.metroleads.com/companies/0c7e9033-589f-47bc-8bd1-ed16f4709436/leads#/lead/2b26c62d-d85b-474a-abda-f29fa899838d", "2b26c62d-d85b-474a-abda-f29fa899838d")</f>
        <v/>
      </c>
      <c r="B159" t="s">
        <v>1019</v>
      </c>
      <c r="C159" t="s">
        <v>65</v>
      </c>
      <c r="D159" t="s">
        <v>117</v>
      </c>
      <c r="E159" t="s">
        <v>51</v>
      </c>
      <c r="F159" t="s">
        <v>78</v>
      </c>
      <c r="G159" t="s">
        <v>1020</v>
      </c>
      <c r="H159" t="s">
        <v>119</v>
      </c>
      <c r="I159" t="s">
        <v>1021</v>
      </c>
      <c r="J159" t="s">
        <v>1022</v>
      </c>
      <c r="W159" t="s">
        <v>124</v>
      </c>
      <c r="X159" t="s">
        <v>124</v>
      </c>
      <c r="Z159" t="s">
        <v>58</v>
      </c>
      <c r="AA159" t="s">
        <v>223</v>
      </c>
      <c r="AB159" t="s">
        <v>71</v>
      </c>
      <c r="AC159" t="s">
        <v>185</v>
      </c>
      <c r="AD159" t="s">
        <v>864</v>
      </c>
      <c r="AE159" t="s">
        <v>87</v>
      </c>
      <c r="AG159" t="s">
        <v>264</v>
      </c>
      <c r="AJ159" t="s">
        <v>1023</v>
      </c>
    </row>
    <row r="160" spans="1:52">
      <c r="A160">
        <f>HYPERLINK("https://edge.metroleads.com/companies/0c7e9033-589f-47bc-8bd1-ed16f4709436/leads#/lead/ba298d70-0f51-4035-8aa4-64fbc436edea", "ba298d70-0f51-4035-8aa4-64fbc436edea")</f>
        <v/>
      </c>
      <c r="B160" t="s">
        <v>1024</v>
      </c>
      <c r="C160" t="s">
        <v>391</v>
      </c>
      <c r="D160" t="s">
        <v>211</v>
      </c>
      <c r="E160" t="s">
        <v>51</v>
      </c>
      <c r="F160" t="s">
        <v>52</v>
      </c>
      <c r="G160" t="s">
        <v>1025</v>
      </c>
      <c r="H160" t="s">
        <v>54</v>
      </c>
      <c r="I160" t="s">
        <v>1026</v>
      </c>
      <c r="J160" t="s">
        <v>1027</v>
      </c>
      <c r="K160" t="s">
        <v>1028</v>
      </c>
      <c r="Y160" t="s">
        <v>57</v>
      </c>
      <c r="Z160" t="s">
        <v>83</v>
      </c>
      <c r="AC160" t="s">
        <v>59</v>
      </c>
      <c r="AD160" t="s">
        <v>1029</v>
      </c>
      <c r="AG160" t="s">
        <v>150</v>
      </c>
      <c r="AT160" t="s">
        <v>62</v>
      </c>
      <c r="AU160" t="s">
        <v>276</v>
      </c>
      <c r="AZ160" t="s">
        <v>284</v>
      </c>
    </row>
    <row r="161" spans="1:52">
      <c r="A161">
        <f>HYPERLINK("https://edge.metroleads.com/companies/0c7e9033-589f-47bc-8bd1-ed16f4709436/leads#/lead/8aa9a163-04a3-4bd8-8b79-3c2e0f45a0e4", "8aa9a163-04a3-4bd8-8b79-3c2e0f45a0e4")</f>
        <v/>
      </c>
      <c r="B161" t="s">
        <v>1030</v>
      </c>
      <c r="C161" t="s">
        <v>54</v>
      </c>
      <c r="D161" t="s">
        <v>211</v>
      </c>
      <c r="E161" t="s">
        <v>51</v>
      </c>
      <c r="F161" t="s">
        <v>236</v>
      </c>
      <c r="G161" t="s">
        <v>1031</v>
      </c>
      <c r="H161" t="s">
        <v>65</v>
      </c>
      <c r="I161" t="s">
        <v>1032</v>
      </c>
      <c r="J161" t="s">
        <v>1033</v>
      </c>
      <c r="X161" t="s">
        <v>57</v>
      </c>
      <c r="Y161" t="s">
        <v>57</v>
      </c>
      <c r="Z161" t="s">
        <v>58</v>
      </c>
      <c r="AC161" t="s">
        <v>171</v>
      </c>
      <c r="AG161" t="s">
        <v>159</v>
      </c>
      <c r="AT161" t="s">
        <v>62</v>
      </c>
      <c r="AU161" t="s">
        <v>276</v>
      </c>
    </row>
    <row r="162" spans="1:52">
      <c r="A162">
        <f>HYPERLINK("https://edge.metroleads.com/companies/0c7e9033-589f-47bc-8bd1-ed16f4709436/leads#/lead/44fa4a2f-c288-4787-8a44-164a2774cb18", "44fa4a2f-c288-4787-8a44-164a2774cb18")</f>
        <v/>
      </c>
      <c r="B162" t="s">
        <v>1034</v>
      </c>
      <c r="C162" t="s">
        <v>54</v>
      </c>
      <c r="D162" t="s">
        <v>825</v>
      </c>
      <c r="E162" t="s">
        <v>51</v>
      </c>
      <c r="F162" t="s">
        <v>103</v>
      </c>
      <c r="G162" t="s">
        <v>1035</v>
      </c>
      <c r="H162" t="s">
        <v>119</v>
      </c>
      <c r="I162" t="s">
        <v>1036</v>
      </c>
      <c r="J162" t="s">
        <v>1037</v>
      </c>
      <c r="R162" t="s">
        <v>1038</v>
      </c>
      <c r="S162" t="s">
        <v>1039</v>
      </c>
      <c r="T162" t="s">
        <v>1040</v>
      </c>
      <c r="W162" t="s">
        <v>124</v>
      </c>
      <c r="X162" t="s">
        <v>124</v>
      </c>
      <c r="Z162" t="s">
        <v>83</v>
      </c>
      <c r="AA162" t="s">
        <v>125</v>
      </c>
      <c r="AB162" t="s">
        <v>71</v>
      </c>
      <c r="AC162" t="s">
        <v>126</v>
      </c>
      <c r="AD162" t="s">
        <v>703</v>
      </c>
      <c r="AE162" t="s">
        <v>87</v>
      </c>
      <c r="AG162" t="s">
        <v>264</v>
      </c>
      <c r="AH162" t="s">
        <v>825</v>
      </c>
    </row>
    <row r="163" spans="1:52">
      <c r="A163">
        <f>HYPERLINK("https://edge.metroleads.com/companies/0c7e9033-589f-47bc-8bd1-ed16f4709436/leads#/lead/bd6073ab-1b9b-4350-ae36-5e9ecc25c444", "bd6073ab-1b9b-4350-ae36-5e9ecc25c444")</f>
        <v/>
      </c>
      <c r="B163" t="s">
        <v>1041</v>
      </c>
      <c r="C163" t="s">
        <v>54</v>
      </c>
      <c r="D163" t="s">
        <v>825</v>
      </c>
      <c r="E163" t="s">
        <v>51</v>
      </c>
      <c r="F163" t="s"/>
      <c r="G163" t="s">
        <v>1042</v>
      </c>
      <c r="H163" t="s">
        <v>119</v>
      </c>
      <c r="I163" t="s">
        <v>1043</v>
      </c>
      <c r="J163" t="s">
        <v>1044</v>
      </c>
      <c r="X163" t="s">
        <v>124</v>
      </c>
      <c r="AG163" t="s">
        <v>198</v>
      </c>
      <c r="AH163" t="s">
        <v>825</v>
      </c>
    </row>
    <row r="164" spans="1:52">
      <c r="A164">
        <f>HYPERLINK("https://edge.metroleads.com/companies/0c7e9033-589f-47bc-8bd1-ed16f4709436/leads#/lead/e1d146c0-7ddf-4868-8b51-c68f6616bfaf", "e1d146c0-7ddf-4868-8b51-c68f6616bfaf")</f>
        <v/>
      </c>
      <c r="B164" t="s">
        <v>1045</v>
      </c>
      <c r="C164" t="s">
        <v>49</v>
      </c>
      <c r="D164" t="s">
        <v>825</v>
      </c>
      <c r="E164" t="s">
        <v>51</v>
      </c>
      <c r="F164" t="s"/>
      <c r="G164" t="s">
        <v>1046</v>
      </c>
      <c r="H164" t="s">
        <v>54</v>
      </c>
      <c r="I164" t="s">
        <v>1047</v>
      </c>
      <c r="J164" t="s">
        <v>1048</v>
      </c>
      <c r="R164" t="s">
        <v>1049</v>
      </c>
      <c r="S164" t="s">
        <v>1050</v>
      </c>
      <c r="W164" t="s">
        <v>124</v>
      </c>
      <c r="X164" t="s">
        <v>124</v>
      </c>
      <c r="Z164" t="s">
        <v>83</v>
      </c>
      <c r="AA164" t="s">
        <v>84</v>
      </c>
      <c r="AB164" t="s">
        <v>71</v>
      </c>
      <c r="AC164" t="s">
        <v>401</v>
      </c>
      <c r="AE164" t="s">
        <v>87</v>
      </c>
      <c r="AG164" t="s">
        <v>150</v>
      </c>
      <c r="AH164" t="s">
        <v>825</v>
      </c>
    </row>
    <row r="165" spans="1:52">
      <c r="A165">
        <f>HYPERLINK("https://edge.metroleads.com/companies/0c7e9033-589f-47bc-8bd1-ed16f4709436/leads#/lead/93d2ce3b-c9ee-48b1-b246-03e376ab47b8", "93d2ce3b-c9ee-48b1-b246-03e376ab47b8")</f>
        <v/>
      </c>
      <c r="B165" t="s">
        <v>1051</v>
      </c>
      <c r="C165" t="s">
        <v>34</v>
      </c>
      <c r="D165" t="s">
        <v>825</v>
      </c>
      <c r="E165" t="s">
        <v>51</v>
      </c>
      <c r="F165" t="s">
        <v>78</v>
      </c>
      <c r="G165" t="s">
        <v>1052</v>
      </c>
      <c r="H165" t="s">
        <v>54</v>
      </c>
      <c r="I165" t="s">
        <v>1053</v>
      </c>
      <c r="J165" t="s">
        <v>1054</v>
      </c>
      <c r="W165" t="s">
        <v>124</v>
      </c>
      <c r="X165" t="s">
        <v>124</v>
      </c>
      <c r="Z165" t="s">
        <v>83</v>
      </c>
      <c r="AB165" t="s">
        <v>71</v>
      </c>
      <c r="AC165" t="s">
        <v>126</v>
      </c>
      <c r="AE165" t="s">
        <v>87</v>
      </c>
      <c r="AG165" t="s">
        <v>597</v>
      </c>
      <c r="AH165" t="s">
        <v>825</v>
      </c>
      <c r="AM165" t="s">
        <v>225</v>
      </c>
    </row>
    <row r="166" spans="1:52">
      <c r="A166">
        <f>HYPERLINK("https://edge.metroleads.com/companies/0c7e9033-589f-47bc-8bd1-ed16f4709436/leads#/lead/e8a641e2-7992-4beb-9d07-7437dad43918", "e8a641e2-7992-4beb-9d07-7437dad43918")</f>
        <v/>
      </c>
      <c r="B166" t="s">
        <v>1055</v>
      </c>
      <c r="C166" t="s">
        <v>49</v>
      </c>
      <c r="D166" t="s">
        <v>825</v>
      </c>
      <c r="E166" t="s">
        <v>51</v>
      </c>
      <c r="F166" t="s">
        <v>103</v>
      </c>
      <c r="G166" t="s">
        <v>1056</v>
      </c>
      <c r="H166" t="s">
        <v>119</v>
      </c>
      <c r="I166" t="s">
        <v>1057</v>
      </c>
      <c r="J166" t="s">
        <v>1058</v>
      </c>
      <c r="Q166" t="s">
        <v>52</v>
      </c>
      <c r="R166" t="s">
        <v>1059</v>
      </c>
      <c r="S166" t="s">
        <v>1060</v>
      </c>
      <c r="T166" t="s">
        <v>1061</v>
      </c>
      <c r="W166" t="s">
        <v>124</v>
      </c>
      <c r="X166" t="s">
        <v>124</v>
      </c>
      <c r="Y166" t="s">
        <v>124</v>
      </c>
      <c r="Z166" t="s">
        <v>83</v>
      </c>
      <c r="AA166" t="s">
        <v>333</v>
      </c>
      <c r="AB166" t="s">
        <v>71</v>
      </c>
      <c r="AC166" t="s">
        <v>126</v>
      </c>
      <c r="AD166" t="s">
        <v>127</v>
      </c>
      <c r="AG166" t="s">
        <v>911</v>
      </c>
      <c r="AH166" t="s">
        <v>825</v>
      </c>
    </row>
    <row r="167" spans="1:52">
      <c r="A167">
        <f>HYPERLINK("https://edge.metroleads.com/companies/0c7e9033-589f-47bc-8bd1-ed16f4709436/leads#/lead/53268e55-db05-4796-b0c6-3e71b10604c1", "53268e55-db05-4796-b0c6-3e71b10604c1")</f>
        <v/>
      </c>
      <c r="B167" t="s">
        <v>1062</v>
      </c>
      <c r="C167" t="s">
        <v>54</v>
      </c>
      <c r="D167" t="s">
        <v>328</v>
      </c>
      <c r="E167" t="s">
        <v>51</v>
      </c>
      <c r="F167" t="s">
        <v>161</v>
      </c>
      <c r="G167" t="s">
        <v>1063</v>
      </c>
      <c r="H167" t="s">
        <v>76</v>
      </c>
      <c r="I167" t="s">
        <v>1064</v>
      </c>
      <c r="J167" t="s">
        <v>1065</v>
      </c>
      <c r="X167" t="s">
        <v>57</v>
      </c>
      <c r="Y167" t="s">
        <v>57</v>
      </c>
      <c r="Z167" t="s">
        <v>58</v>
      </c>
      <c r="AC167" t="s">
        <v>171</v>
      </c>
      <c r="AG167" t="s">
        <v>264</v>
      </c>
      <c r="AH167" t="s">
        <v>328</v>
      </c>
      <c r="AI167" t="s">
        <v>354</v>
      </c>
      <c r="AJ167" t="s">
        <v>1066</v>
      </c>
      <c r="AM167" t="s">
        <v>139</v>
      </c>
      <c r="AT167" t="s">
        <v>62</v>
      </c>
      <c r="AU167" t="s">
        <v>63</v>
      </c>
      <c r="AZ167" t="s">
        <v>284</v>
      </c>
    </row>
    <row r="168" spans="1:52">
      <c r="A168">
        <f>HYPERLINK("https://edge.metroleads.com/companies/0c7e9033-589f-47bc-8bd1-ed16f4709436/leads#/lead/b4827c32-ae80-4476-b4c9-472c394e6765", "b4827c32-ae80-4476-b4c9-472c394e6765")</f>
        <v/>
      </c>
      <c r="B168" t="s">
        <v>1067</v>
      </c>
      <c r="C168" t="s">
        <v>34</v>
      </c>
      <c r="D168" t="s">
        <v>825</v>
      </c>
      <c r="E168" t="s">
        <v>51</v>
      </c>
      <c r="F168" t="s">
        <v>1068</v>
      </c>
      <c r="G168" t="s">
        <v>1069</v>
      </c>
      <c r="H168" t="s">
        <v>54</v>
      </c>
      <c r="I168" t="s">
        <v>1070</v>
      </c>
      <c r="J168" t="s">
        <v>1071</v>
      </c>
      <c r="K168" t="s">
        <v>1072</v>
      </c>
      <c r="Q168" t="s">
        <v>52</v>
      </c>
      <c r="R168" t="s">
        <v>1073</v>
      </c>
      <c r="S168" t="s">
        <v>1074</v>
      </c>
      <c r="W168" t="s">
        <v>124</v>
      </c>
      <c r="X168" t="s">
        <v>124</v>
      </c>
      <c r="Z168" t="s">
        <v>58</v>
      </c>
      <c r="AC168" t="s">
        <v>1075</v>
      </c>
      <c r="AG168" t="s">
        <v>88</v>
      </c>
      <c r="AH168" t="s">
        <v>825</v>
      </c>
      <c r="AM168" t="s">
        <v>89</v>
      </c>
    </row>
    <row r="169" spans="1:52">
      <c r="A169">
        <f>HYPERLINK("https://edge.metroleads.com/companies/0c7e9033-589f-47bc-8bd1-ed16f4709436/leads#/lead/dd8ef812-2d62-4f40-a42b-08b58cc449f1", "dd8ef812-2d62-4f40-a42b-08b58cc449f1")</f>
        <v/>
      </c>
      <c r="B169" t="s">
        <v>1076</v>
      </c>
      <c r="C169" t="s">
        <v>54</v>
      </c>
      <c r="D169" t="s">
        <v>825</v>
      </c>
      <c r="E169" t="s">
        <v>51</v>
      </c>
      <c r="F169" t="s">
        <v>78</v>
      </c>
      <c r="G169" t="s">
        <v>1077</v>
      </c>
      <c r="H169" t="s">
        <v>119</v>
      </c>
      <c r="I169" t="s">
        <v>1078</v>
      </c>
      <c r="J169" t="s">
        <v>1079</v>
      </c>
      <c r="W169" t="s">
        <v>124</v>
      </c>
      <c r="X169" t="s">
        <v>124</v>
      </c>
      <c r="Z169" t="s">
        <v>58</v>
      </c>
      <c r="AA169" t="s">
        <v>254</v>
      </c>
      <c r="AB169" t="s">
        <v>71</v>
      </c>
      <c r="AC169" t="s">
        <v>658</v>
      </c>
      <c r="AD169" t="s">
        <v>127</v>
      </c>
      <c r="AG169" t="s">
        <v>990</v>
      </c>
      <c r="AH169" t="s">
        <v>825</v>
      </c>
    </row>
    <row r="170" spans="1:52">
      <c r="A170">
        <f>HYPERLINK("https://edge.metroleads.com/companies/0c7e9033-589f-47bc-8bd1-ed16f4709436/leads#/lead/3da56cc0-0a25-45fd-8c6b-630ef9111831", "3da56cc0-0a25-45fd-8c6b-630ef9111831")</f>
        <v/>
      </c>
      <c r="B170" t="s">
        <v>1080</v>
      </c>
      <c r="C170" t="s">
        <v>54</v>
      </c>
      <c r="D170" t="s">
        <v>91</v>
      </c>
      <c r="E170" t="s">
        <v>1081</v>
      </c>
      <c r="F170" t="s">
        <v>1082</v>
      </c>
      <c r="G170" t="s">
        <v>1083</v>
      </c>
      <c r="H170" t="s">
        <v>65</v>
      </c>
      <c r="I170" t="s">
        <v>1084</v>
      </c>
      <c r="J170" t="s">
        <v>1085</v>
      </c>
      <c r="Q170" t="s">
        <v>52</v>
      </c>
      <c r="R170" t="s">
        <v>1086</v>
      </c>
      <c r="S170" t="s">
        <v>1087</v>
      </c>
      <c r="T170" t="s">
        <v>1088</v>
      </c>
      <c r="W170" t="s">
        <v>368</v>
      </c>
      <c r="X170" t="s">
        <v>368</v>
      </c>
      <c r="Y170" t="s">
        <v>69</v>
      </c>
      <c r="Z170" t="s">
        <v>70</v>
      </c>
      <c r="AB170" t="s">
        <v>71</v>
      </c>
      <c r="AC170" t="s">
        <v>112</v>
      </c>
      <c r="AD170" t="s">
        <v>127</v>
      </c>
      <c r="AG170" t="s">
        <v>159</v>
      </c>
      <c r="AH170" t="s">
        <v>91</v>
      </c>
      <c r="AM170" t="s">
        <v>1089</v>
      </c>
    </row>
    <row r="171" spans="1:52">
      <c r="A171">
        <f>HYPERLINK("https://edge.metroleads.com/companies/0c7e9033-589f-47bc-8bd1-ed16f4709436/leads#/lead/6dec434c-d49b-4e27-8bfa-914cc5fda1f7", "6dec434c-d49b-4e27-8bfa-914cc5fda1f7")</f>
        <v/>
      </c>
      <c r="B171" t="s">
        <v>888</v>
      </c>
      <c r="C171" t="s">
        <v>54</v>
      </c>
      <c r="D171" t="s">
        <v>825</v>
      </c>
      <c r="E171" t="s">
        <v>51</v>
      </c>
      <c r="F171" t="s">
        <v>717</v>
      </c>
      <c r="G171" t="s">
        <v>1090</v>
      </c>
      <c r="H171" t="s">
        <v>119</v>
      </c>
      <c r="I171" t="s">
        <v>1091</v>
      </c>
      <c r="J171" t="s">
        <v>1092</v>
      </c>
      <c r="U171" t="s">
        <v>1093</v>
      </c>
      <c r="W171" t="s">
        <v>124</v>
      </c>
      <c r="X171" t="s">
        <v>124</v>
      </c>
      <c r="Y171" t="s">
        <v>124</v>
      </c>
      <c r="Z171" t="s">
        <v>58</v>
      </c>
      <c r="AA171" t="s">
        <v>254</v>
      </c>
      <c r="AG171" t="s">
        <v>150</v>
      </c>
      <c r="AH171" t="s">
        <v>825</v>
      </c>
    </row>
    <row r="172" spans="1:52">
      <c r="A172">
        <f>HYPERLINK("https://edge.metroleads.com/companies/0c7e9033-589f-47bc-8bd1-ed16f4709436/leads#/lead/c8987a5f-a9ad-460a-ba2b-c80c85a60bb2", "c8987a5f-a9ad-460a-ba2b-c80c85a60bb2")</f>
        <v/>
      </c>
      <c r="B172" t="s">
        <v>1094</v>
      </c>
      <c r="C172" t="s">
        <v>54</v>
      </c>
      <c r="D172" t="s">
        <v>825</v>
      </c>
      <c r="E172" t="s">
        <v>51</v>
      </c>
      <c r="F172" t="s">
        <v>103</v>
      </c>
      <c r="G172" t="s">
        <v>1095</v>
      </c>
      <c r="H172" t="s">
        <v>119</v>
      </c>
      <c r="I172" t="s">
        <v>1096</v>
      </c>
      <c r="J172" t="s">
        <v>1097</v>
      </c>
      <c r="Q172" t="s">
        <v>52</v>
      </c>
      <c r="R172" t="s">
        <v>1098</v>
      </c>
      <c r="S172" t="s">
        <v>1099</v>
      </c>
      <c r="W172" t="s">
        <v>124</v>
      </c>
      <c r="X172" t="s">
        <v>124</v>
      </c>
      <c r="Y172" t="s">
        <v>124</v>
      </c>
      <c r="Z172" t="s">
        <v>222</v>
      </c>
      <c r="AA172" t="s">
        <v>223</v>
      </c>
      <c r="AB172" t="s">
        <v>71</v>
      </c>
      <c r="AC172" t="s">
        <v>185</v>
      </c>
      <c r="AG172" t="s">
        <v>304</v>
      </c>
      <c r="AH172" t="s">
        <v>825</v>
      </c>
    </row>
    <row r="173" spans="1:52">
      <c r="A173">
        <f>HYPERLINK("https://edge.metroleads.com/companies/0c7e9033-589f-47bc-8bd1-ed16f4709436/leads#/lead/a0d78932-81a8-425c-9bdd-a5fd3c6398c9", "a0d78932-81a8-425c-9bdd-a5fd3c6398c9")</f>
        <v/>
      </c>
      <c r="B173" t="s">
        <v>1100</v>
      </c>
      <c r="C173" t="s">
        <v>54</v>
      </c>
      <c r="D173" t="s">
        <v>117</v>
      </c>
      <c r="E173" t="s">
        <v>51</v>
      </c>
      <c r="F173" t="s">
        <v>1101</v>
      </c>
      <c r="G173" t="s">
        <v>1102</v>
      </c>
      <c r="H173" t="s">
        <v>49</v>
      </c>
      <c r="I173" t="s">
        <v>1103</v>
      </c>
      <c r="J173" t="s">
        <v>1104</v>
      </c>
      <c r="K173" t="s">
        <v>1105</v>
      </c>
      <c r="Q173" t="s">
        <v>1106</v>
      </c>
      <c r="W173" t="s">
        <v>1107</v>
      </c>
      <c r="X173" t="s">
        <v>124</v>
      </c>
      <c r="Z173" t="s">
        <v>58</v>
      </c>
      <c r="AA173" t="s">
        <v>254</v>
      </c>
      <c r="AB173" t="s">
        <v>71</v>
      </c>
      <c r="AC173" t="s">
        <v>658</v>
      </c>
      <c r="AD173" t="s">
        <v>127</v>
      </c>
      <c r="AE173" t="s">
        <v>87</v>
      </c>
      <c r="AG173" t="s">
        <v>88</v>
      </c>
      <c r="AJ173" t="s">
        <v>1108</v>
      </c>
      <c r="AO173" t="s">
        <v>1109</v>
      </c>
      <c r="AQ173" t="s">
        <v>1110</v>
      </c>
      <c r="AR173" t="s">
        <v>1111</v>
      </c>
      <c r="AS173" t="s">
        <v>1112</v>
      </c>
    </row>
    <row r="174" spans="1:52">
      <c r="A174">
        <f>HYPERLINK("https://edge.metroleads.com/companies/0c7e9033-589f-47bc-8bd1-ed16f4709436/leads#/lead/653cfb8d-355f-4eaf-a60d-4277c6d3d8dc", "653cfb8d-355f-4eaf-a60d-4277c6d3d8dc")</f>
        <v/>
      </c>
      <c r="B174" t="s">
        <v>1113</v>
      </c>
      <c r="C174" t="s">
        <v>49</v>
      </c>
      <c r="D174" t="s">
        <v>328</v>
      </c>
      <c r="E174" t="s">
        <v>51</v>
      </c>
      <c r="F174" t="s">
        <v>161</v>
      </c>
      <c r="G174" t="s">
        <v>1114</v>
      </c>
      <c r="H174" t="s">
        <v>54</v>
      </c>
      <c r="I174" t="s">
        <v>1115</v>
      </c>
      <c r="J174" t="s">
        <v>1116</v>
      </c>
      <c r="X174" t="s">
        <v>57</v>
      </c>
      <c r="Y174" t="s">
        <v>57</v>
      </c>
      <c r="Z174" t="s">
        <v>58</v>
      </c>
      <c r="AC174" t="s">
        <v>171</v>
      </c>
      <c r="AG174" t="s">
        <v>264</v>
      </c>
      <c r="AH174" t="s">
        <v>328</v>
      </c>
      <c r="AI174" t="s">
        <v>354</v>
      </c>
      <c r="AJ174" t="s">
        <v>1117</v>
      </c>
      <c r="AT174" t="s">
        <v>62</v>
      </c>
      <c r="AU174" t="s">
        <v>63</v>
      </c>
    </row>
    <row r="175" spans="1:52">
      <c r="A175">
        <f>HYPERLINK("https://edge.metroleads.com/companies/0c7e9033-589f-47bc-8bd1-ed16f4709436/leads#/lead/63b2960d-02f0-48b2-8c01-71d20de3862c", "63b2960d-02f0-48b2-8c01-71d20de3862c")</f>
        <v/>
      </c>
      <c r="B175" t="s">
        <v>1118</v>
      </c>
      <c r="C175" t="s">
        <v>65</v>
      </c>
      <c r="D175" t="s">
        <v>117</v>
      </c>
      <c r="E175" t="s">
        <v>51</v>
      </c>
      <c r="F175" t="s">
        <v>103</v>
      </c>
      <c r="G175" t="s">
        <v>1119</v>
      </c>
      <c r="H175" t="s">
        <v>119</v>
      </c>
      <c r="I175" t="s">
        <v>1120</v>
      </c>
      <c r="J175" t="s">
        <v>1121</v>
      </c>
      <c r="R175" t="s">
        <v>1122</v>
      </c>
      <c r="S175" t="s">
        <v>1123</v>
      </c>
      <c r="T175" t="s">
        <v>1124</v>
      </c>
      <c r="W175" t="s">
        <v>124</v>
      </c>
      <c r="X175" t="s">
        <v>124</v>
      </c>
      <c r="Z175" t="s">
        <v>83</v>
      </c>
      <c r="AA175" t="s">
        <v>84</v>
      </c>
      <c r="AB175" t="s">
        <v>71</v>
      </c>
      <c r="AC175" t="s">
        <v>126</v>
      </c>
      <c r="AD175" t="s">
        <v>334</v>
      </c>
      <c r="AE175" t="s">
        <v>87</v>
      </c>
      <c r="AG175" t="s">
        <v>150</v>
      </c>
      <c r="AJ175" t="s">
        <v>865</v>
      </c>
    </row>
    <row r="176" spans="1:52">
      <c r="A176">
        <f>HYPERLINK("https://edge.metroleads.com/companies/0c7e9033-589f-47bc-8bd1-ed16f4709436/leads#/lead/4dca0baa-2ba3-4fd5-907e-11c18a142dbc", "4dca0baa-2ba3-4fd5-907e-11c18a142dbc")</f>
        <v/>
      </c>
      <c r="B176" t="s">
        <v>1125</v>
      </c>
      <c r="C176" t="s">
        <v>65</v>
      </c>
      <c r="D176" t="s">
        <v>117</v>
      </c>
      <c r="E176" t="s">
        <v>51</v>
      </c>
      <c r="F176" t="s">
        <v>103</v>
      </c>
      <c r="G176" t="s">
        <v>1126</v>
      </c>
      <c r="H176" t="s">
        <v>119</v>
      </c>
      <c r="I176" t="s">
        <v>1127</v>
      </c>
      <c r="J176" t="s">
        <v>1128</v>
      </c>
      <c r="R176" t="s">
        <v>1129</v>
      </c>
      <c r="S176" t="s">
        <v>1130</v>
      </c>
      <c r="T176" t="s">
        <v>1131</v>
      </c>
      <c r="W176" t="s">
        <v>124</v>
      </c>
      <c r="X176" t="s">
        <v>124</v>
      </c>
      <c r="Z176" t="s">
        <v>58</v>
      </c>
      <c r="AA176" t="s">
        <v>254</v>
      </c>
      <c r="AB176" t="s">
        <v>71</v>
      </c>
      <c r="AC176" t="s">
        <v>185</v>
      </c>
      <c r="AD176" t="s">
        <v>864</v>
      </c>
      <c r="AE176" t="s">
        <v>87</v>
      </c>
      <c r="AG176" t="s">
        <v>61</v>
      </c>
      <c r="AJ176" t="s">
        <v>1132</v>
      </c>
    </row>
    <row r="177" spans="1:52">
      <c r="A177">
        <f>HYPERLINK("https://edge.metroleads.com/companies/0c7e9033-589f-47bc-8bd1-ed16f4709436/leads#/lead/27221fd9-9789-488a-8daf-9cb50cbe58a8", "27221fd9-9789-488a-8daf-9cb50cbe58a8")</f>
        <v/>
      </c>
      <c r="B177" t="s">
        <v>1133</v>
      </c>
      <c r="C177" t="s">
        <v>65</v>
      </c>
      <c r="D177" t="s">
        <v>117</v>
      </c>
      <c r="E177" t="s">
        <v>51</v>
      </c>
      <c r="F177" t="s"/>
      <c r="G177" t="s">
        <v>1134</v>
      </c>
      <c r="H177" t="s">
        <v>119</v>
      </c>
      <c r="I177" t="s">
        <v>1135</v>
      </c>
      <c r="J177" t="s">
        <v>1136</v>
      </c>
      <c r="R177" t="s">
        <v>1137</v>
      </c>
      <c r="S177" t="s">
        <v>1138</v>
      </c>
      <c r="T177" t="s">
        <v>1139</v>
      </c>
      <c r="W177" t="s">
        <v>124</v>
      </c>
      <c r="Z177" t="s">
        <v>222</v>
      </c>
      <c r="AA177" t="s">
        <v>333</v>
      </c>
      <c r="AC177" t="s">
        <v>185</v>
      </c>
      <c r="AD177" t="s">
        <v>864</v>
      </c>
      <c r="AE177" t="s">
        <v>87</v>
      </c>
      <c r="AG177" t="s">
        <v>150</v>
      </c>
    </row>
    <row r="178" spans="1:52">
      <c r="A178">
        <f>HYPERLINK("https://edge.metroleads.com/companies/0c7e9033-589f-47bc-8bd1-ed16f4709436/leads#/lead/631ba845-d3b1-425a-a958-2771712de282", "631ba845-d3b1-425a-a958-2771712de282")</f>
        <v/>
      </c>
      <c r="B178" t="s">
        <v>1140</v>
      </c>
      <c r="C178" t="s">
        <v>65</v>
      </c>
      <c r="D178" t="s">
        <v>539</v>
      </c>
      <c r="E178" t="s">
        <v>51</v>
      </c>
      <c r="F178" t="s">
        <v>78</v>
      </c>
      <c r="G178" t="s">
        <v>1141</v>
      </c>
      <c r="H178" t="s">
        <v>119</v>
      </c>
      <c r="I178" t="s">
        <v>1142</v>
      </c>
      <c r="J178" t="s">
        <v>1143</v>
      </c>
      <c r="W178" t="s">
        <v>124</v>
      </c>
      <c r="X178" t="s">
        <v>124</v>
      </c>
      <c r="Y178" t="s">
        <v>124</v>
      </c>
      <c r="Z178" t="s">
        <v>58</v>
      </c>
      <c r="AA178" t="s">
        <v>223</v>
      </c>
      <c r="AB178" t="s">
        <v>71</v>
      </c>
      <c r="AC178" t="s">
        <v>185</v>
      </c>
      <c r="AD178" t="s">
        <v>127</v>
      </c>
      <c r="AE178" t="s">
        <v>87</v>
      </c>
      <c r="AG178" t="s">
        <v>232</v>
      </c>
      <c r="AH178" t="s">
        <v>539</v>
      </c>
      <c r="AI178" t="s">
        <v>54</v>
      </c>
    </row>
    <row r="179" spans="1:52">
      <c r="A179">
        <f>HYPERLINK("https://edge.metroleads.com/companies/0c7e9033-589f-47bc-8bd1-ed16f4709436/leads#/lead/d0b61409-47ff-4e63-8164-3a9bb1fad942", "d0b61409-47ff-4e63-8164-3a9bb1fad942")</f>
        <v/>
      </c>
      <c r="B179" t="s">
        <v>1144</v>
      </c>
      <c r="C179" t="s">
        <v>265</v>
      </c>
      <c r="D179" t="s">
        <v>539</v>
      </c>
      <c r="E179" t="s">
        <v>51</v>
      </c>
      <c r="F179" t="s">
        <v>679</v>
      </c>
      <c r="G179" t="s">
        <v>1145</v>
      </c>
      <c r="H179" t="s">
        <v>65</v>
      </c>
      <c r="I179" t="s">
        <v>1146</v>
      </c>
      <c r="J179" t="s">
        <v>1147</v>
      </c>
      <c r="W179" t="s">
        <v>124</v>
      </c>
      <c r="X179" t="s">
        <v>124</v>
      </c>
      <c r="Y179" t="s">
        <v>124</v>
      </c>
      <c r="Z179" t="s">
        <v>58</v>
      </c>
      <c r="AA179" t="s">
        <v>223</v>
      </c>
      <c r="AB179" t="s">
        <v>71</v>
      </c>
      <c r="AC179" t="s">
        <v>185</v>
      </c>
      <c r="AD179" t="s">
        <v>127</v>
      </c>
      <c r="AE179" t="s">
        <v>87</v>
      </c>
      <c r="AG179" t="s">
        <v>264</v>
      </c>
      <c r="AH179" t="s">
        <v>539</v>
      </c>
      <c r="AI179" t="s">
        <v>49</v>
      </c>
      <c r="AJ179" t="s">
        <v>1148</v>
      </c>
      <c r="AN179" t="s">
        <v>372</v>
      </c>
    </row>
    <row r="180" spans="1:52">
      <c r="A180">
        <f>HYPERLINK("https://edge.metroleads.com/companies/0c7e9033-589f-47bc-8bd1-ed16f4709436/leads#/lead/d720f43f-dd50-49a2-8caf-e183fd7d7b28", "d720f43f-dd50-49a2-8caf-e183fd7d7b28")</f>
        <v/>
      </c>
      <c r="B180" t="s">
        <v>1149</v>
      </c>
      <c r="C180" t="s">
        <v>54</v>
      </c>
      <c r="D180" t="s">
        <v>825</v>
      </c>
      <c r="E180" t="s">
        <v>51</v>
      </c>
      <c r="F180" t="s">
        <v>103</v>
      </c>
      <c r="G180" t="s">
        <v>1150</v>
      </c>
      <c r="H180" t="s">
        <v>65</v>
      </c>
      <c r="I180" t="s">
        <v>1151</v>
      </c>
      <c r="J180" t="s">
        <v>1152</v>
      </c>
      <c r="Q180" t="s">
        <v>52</v>
      </c>
      <c r="R180" t="s">
        <v>1153</v>
      </c>
      <c r="S180" t="s">
        <v>1154</v>
      </c>
      <c r="T180" t="s">
        <v>1155</v>
      </c>
      <c r="W180" t="s">
        <v>124</v>
      </c>
      <c r="X180" t="s">
        <v>124</v>
      </c>
      <c r="Y180" t="s">
        <v>124</v>
      </c>
      <c r="Z180" t="s">
        <v>83</v>
      </c>
      <c r="AA180" t="s">
        <v>333</v>
      </c>
      <c r="AB180" t="s">
        <v>71</v>
      </c>
      <c r="AC180" t="s">
        <v>126</v>
      </c>
      <c r="AD180" t="s">
        <v>127</v>
      </c>
      <c r="AE180" t="s">
        <v>87</v>
      </c>
      <c r="AG180" t="s">
        <v>264</v>
      </c>
      <c r="AH180" t="s">
        <v>825</v>
      </c>
    </row>
    <row r="181" spans="1:52">
      <c r="A181">
        <f>HYPERLINK("https://edge.metroleads.com/companies/0c7e9033-589f-47bc-8bd1-ed16f4709436/leads#/lead/dba2db70-f0b4-4c20-8d0d-0d9502466547", "dba2db70-f0b4-4c20-8d0d-0d9502466547")</f>
        <v/>
      </c>
      <c r="B181" t="s">
        <v>1156</v>
      </c>
      <c r="C181" t="s">
        <v>34</v>
      </c>
      <c r="D181" t="s">
        <v>117</v>
      </c>
      <c r="E181" t="s">
        <v>51</v>
      </c>
      <c r="F181" t="s">
        <v>1157</v>
      </c>
      <c r="G181" t="s">
        <v>1158</v>
      </c>
      <c r="H181" t="s">
        <v>49</v>
      </c>
      <c r="I181" t="s">
        <v>1159</v>
      </c>
      <c r="J181" t="s">
        <v>1160</v>
      </c>
      <c r="R181" t="s">
        <v>1161</v>
      </c>
      <c r="S181" t="s">
        <v>1162</v>
      </c>
      <c r="W181" t="s">
        <v>124</v>
      </c>
      <c r="Z181" t="s">
        <v>58</v>
      </c>
      <c r="AC181" t="s">
        <v>658</v>
      </c>
      <c r="AD181" t="s">
        <v>864</v>
      </c>
      <c r="AE181" t="s">
        <v>87</v>
      </c>
      <c r="AG181" t="s">
        <v>597</v>
      </c>
      <c r="AJ181" t="s">
        <v>1163</v>
      </c>
      <c r="AM181" t="s">
        <v>151</v>
      </c>
    </row>
    <row r="182" spans="1:52">
      <c r="A182">
        <f>HYPERLINK("https://edge.metroleads.com/companies/0c7e9033-589f-47bc-8bd1-ed16f4709436/leads#/lead/eb030b02-c025-448d-879a-d1952e49357b", "eb030b02-c025-448d-879a-d1952e49357b")</f>
        <v/>
      </c>
      <c r="B182" t="s">
        <v>1164</v>
      </c>
      <c r="C182" t="s">
        <v>49</v>
      </c>
      <c r="D182" t="s">
        <v>117</v>
      </c>
      <c r="E182" t="s">
        <v>51</v>
      </c>
      <c r="F182" t="s">
        <v>1157</v>
      </c>
      <c r="G182" t="s">
        <v>1165</v>
      </c>
      <c r="H182" t="s">
        <v>65</v>
      </c>
      <c r="I182" t="s">
        <v>1166</v>
      </c>
      <c r="J182" t="s">
        <v>1167</v>
      </c>
      <c r="Q182" t="s">
        <v>52</v>
      </c>
      <c r="R182" t="s">
        <v>1168</v>
      </c>
      <c r="S182" t="s">
        <v>1169</v>
      </c>
      <c r="T182" t="s">
        <v>1170</v>
      </c>
      <c r="W182" t="s">
        <v>124</v>
      </c>
      <c r="X182" t="s">
        <v>124</v>
      </c>
      <c r="Z182" t="s">
        <v>58</v>
      </c>
      <c r="AA182" t="s">
        <v>254</v>
      </c>
      <c r="AB182" t="s">
        <v>71</v>
      </c>
      <c r="AC182" t="s">
        <v>185</v>
      </c>
      <c r="AD182" t="s">
        <v>127</v>
      </c>
      <c r="AE182" t="s">
        <v>87</v>
      </c>
      <c r="AG182" t="s">
        <v>61</v>
      </c>
      <c r="AI182" t="s">
        <v>49</v>
      </c>
      <c r="AJ182" t="s">
        <v>1171</v>
      </c>
    </row>
    <row r="183" spans="1:52">
      <c r="A183">
        <f>HYPERLINK("https://edge.metroleads.com/companies/0c7e9033-589f-47bc-8bd1-ed16f4709436/leads#/lead/c22b7b56-86db-462a-8bd7-2fa793abaf63", "c22b7b56-86db-462a-8bd7-2fa793abaf63")</f>
        <v/>
      </c>
      <c r="B183" t="s">
        <v>1172</v>
      </c>
      <c r="C183" t="s">
        <v>49</v>
      </c>
      <c r="D183" t="s">
        <v>117</v>
      </c>
      <c r="E183" t="s">
        <v>51</v>
      </c>
      <c r="F183" t="s">
        <v>103</v>
      </c>
      <c r="G183" t="s">
        <v>1173</v>
      </c>
      <c r="H183" t="s">
        <v>65</v>
      </c>
      <c r="I183" t="s">
        <v>1174</v>
      </c>
      <c r="J183" t="s">
        <v>1175</v>
      </c>
      <c r="L183" t="s">
        <v>1176</v>
      </c>
      <c r="N183" t="s">
        <v>1177</v>
      </c>
      <c r="R183" t="s">
        <v>1178</v>
      </c>
      <c r="S183" t="s">
        <v>656</v>
      </c>
      <c r="W183" t="s">
        <v>124</v>
      </c>
      <c r="X183" t="s">
        <v>124</v>
      </c>
      <c r="Z183" t="s">
        <v>83</v>
      </c>
      <c r="AA183" t="s">
        <v>84</v>
      </c>
      <c r="AB183" t="s">
        <v>71</v>
      </c>
      <c r="AC183" t="s">
        <v>126</v>
      </c>
      <c r="AD183" t="s">
        <v>864</v>
      </c>
      <c r="AE183" t="s">
        <v>87</v>
      </c>
      <c r="AG183" t="s">
        <v>565</v>
      </c>
      <c r="AJ183" t="s">
        <v>1179</v>
      </c>
      <c r="AS183" t="s">
        <v>1180</v>
      </c>
    </row>
    <row r="184" spans="1:52">
      <c r="A184">
        <f>HYPERLINK("https://edge.metroleads.com/companies/0c7e9033-589f-47bc-8bd1-ed16f4709436/leads#/lead/b882213f-f5b6-491c-b54f-27d276c328f3", "b882213f-f5b6-491c-b54f-27d276c328f3")</f>
        <v/>
      </c>
      <c r="B184" t="s">
        <v>1181</v>
      </c>
      <c r="C184" t="s">
        <v>54</v>
      </c>
      <c r="D184" t="s">
        <v>539</v>
      </c>
      <c r="E184" t="s">
        <v>51</v>
      </c>
      <c r="F184" t="s">
        <v>103</v>
      </c>
      <c r="G184" t="s">
        <v>1182</v>
      </c>
      <c r="H184" t="s">
        <v>65</v>
      </c>
      <c r="I184" t="s">
        <v>1183</v>
      </c>
      <c r="J184" t="s">
        <v>1184</v>
      </c>
      <c r="Q184" t="s">
        <v>52</v>
      </c>
      <c r="R184" t="s">
        <v>1185</v>
      </c>
      <c r="S184" t="s">
        <v>1186</v>
      </c>
      <c r="T184" t="s">
        <v>1187</v>
      </c>
      <c r="W184" t="s">
        <v>124</v>
      </c>
      <c r="X184" t="s">
        <v>124</v>
      </c>
      <c r="Y184" t="s">
        <v>124</v>
      </c>
      <c r="Z184" t="s">
        <v>83</v>
      </c>
      <c r="AA184" t="s">
        <v>333</v>
      </c>
      <c r="AB184" t="s">
        <v>71</v>
      </c>
      <c r="AC184" t="s">
        <v>126</v>
      </c>
      <c r="AD184" t="s">
        <v>127</v>
      </c>
      <c r="AE184" t="s">
        <v>87</v>
      </c>
      <c r="AG184" t="s">
        <v>61</v>
      </c>
      <c r="AH184" t="s">
        <v>539</v>
      </c>
      <c r="AI184" t="s">
        <v>54</v>
      </c>
    </row>
    <row r="185" spans="1:52">
      <c r="A185">
        <f>HYPERLINK("https://edge.metroleads.com/companies/0c7e9033-589f-47bc-8bd1-ed16f4709436/leads#/lead/96429b46-cb46-4303-9d62-742b3e26b65a", "96429b46-cb46-4303-9d62-742b3e26b65a")</f>
        <v/>
      </c>
      <c r="B185" t="s">
        <v>1188</v>
      </c>
      <c r="C185" t="s">
        <v>34</v>
      </c>
      <c r="D185" t="s">
        <v>1189</v>
      </c>
      <c r="E185" t="s">
        <v>51</v>
      </c>
      <c r="F185" t="s">
        <v>161</v>
      </c>
      <c r="G185" t="s">
        <v>1190</v>
      </c>
      <c r="H185" t="s">
        <v>65</v>
      </c>
      <c r="I185" t="s">
        <v>1191</v>
      </c>
      <c r="J185" t="s">
        <v>1192</v>
      </c>
      <c r="Y185" t="s">
        <v>69</v>
      </c>
      <c r="Z185" t="s">
        <v>58</v>
      </c>
      <c r="AC185" t="s">
        <v>449</v>
      </c>
      <c r="AG185" t="s">
        <v>319</v>
      </c>
      <c r="AM185" t="s">
        <v>1193</v>
      </c>
      <c r="AT185" t="s">
        <v>62</v>
      </c>
      <c r="AU185" t="s">
        <v>74</v>
      </c>
    </row>
    <row r="186" spans="1:52">
      <c r="A186">
        <f>HYPERLINK("https://edge.metroleads.com/companies/0c7e9033-589f-47bc-8bd1-ed16f4709436/leads#/lead/c1cc40bc-0f96-4d90-9c92-b6eb3aad8856", "c1cc40bc-0f96-4d90-9c92-b6eb3aad8856")</f>
        <v/>
      </c>
      <c r="B186" t="s">
        <v>1194</v>
      </c>
      <c r="C186" t="s">
        <v>49</v>
      </c>
      <c r="D186" t="s">
        <v>117</v>
      </c>
      <c r="E186" t="s">
        <v>51</v>
      </c>
      <c r="F186" t="s">
        <v>1157</v>
      </c>
      <c r="G186" t="s">
        <v>1195</v>
      </c>
      <c r="H186" t="s">
        <v>119</v>
      </c>
      <c r="I186" t="s">
        <v>1196</v>
      </c>
      <c r="J186" t="s">
        <v>1197</v>
      </c>
      <c r="R186" t="s">
        <v>1198</v>
      </c>
      <c r="S186" t="s">
        <v>1169</v>
      </c>
      <c r="T186" t="s">
        <v>1170</v>
      </c>
      <c r="W186" t="s">
        <v>124</v>
      </c>
      <c r="X186" t="s">
        <v>124</v>
      </c>
      <c r="Z186" t="s">
        <v>58</v>
      </c>
      <c r="AA186" t="s">
        <v>254</v>
      </c>
      <c r="AB186" t="s">
        <v>71</v>
      </c>
      <c r="AC186" t="s">
        <v>185</v>
      </c>
      <c r="AD186" t="s">
        <v>127</v>
      </c>
      <c r="AE186" t="s">
        <v>87</v>
      </c>
      <c r="AG186" t="s">
        <v>565</v>
      </c>
      <c r="AJ186" t="s">
        <v>1199</v>
      </c>
    </row>
    <row r="187" spans="1:52">
      <c r="A187">
        <f>HYPERLINK("https://edge.metroleads.com/companies/0c7e9033-589f-47bc-8bd1-ed16f4709436/leads#/lead/65be7c53-a74e-48c5-b4ca-b8b0ada7d074", "65be7c53-a74e-48c5-b4ca-b8b0ada7d074")</f>
        <v/>
      </c>
      <c r="B187" t="s">
        <v>1200</v>
      </c>
      <c r="C187" t="s">
        <v>49</v>
      </c>
      <c r="D187" t="s">
        <v>328</v>
      </c>
      <c r="E187" t="s">
        <v>51</v>
      </c>
      <c r="F187" t="s">
        <v>52</v>
      </c>
      <c r="G187" t="s">
        <v>1201</v>
      </c>
      <c r="H187" t="s">
        <v>65</v>
      </c>
      <c r="I187" t="s">
        <v>435</v>
      </c>
      <c r="J187" t="s">
        <v>1202</v>
      </c>
      <c r="X187" t="s">
        <v>57</v>
      </c>
      <c r="Y187" t="s">
        <v>57</v>
      </c>
      <c r="Z187" t="s">
        <v>83</v>
      </c>
      <c r="AC187" t="s">
        <v>149</v>
      </c>
      <c r="AG187" t="s">
        <v>150</v>
      </c>
      <c r="AH187" t="s">
        <v>328</v>
      </c>
      <c r="AI187" t="s">
        <v>49</v>
      </c>
      <c r="AJ187" t="s">
        <v>1203</v>
      </c>
      <c r="AT187" t="s">
        <v>62</v>
      </c>
      <c r="AU187" t="s">
        <v>63</v>
      </c>
      <c r="AZ187" t="s">
        <v>284</v>
      </c>
    </row>
    <row r="188" spans="1:52">
      <c r="A188">
        <f>HYPERLINK("https://edge.metroleads.com/companies/0c7e9033-589f-47bc-8bd1-ed16f4709436/leads#/lead/3afc8003-a61e-4ddb-9ed3-3d93196719c0", "3afc8003-a61e-4ddb-9ed3-3d93196719c0")</f>
        <v/>
      </c>
      <c r="B188" t="s">
        <v>1204</v>
      </c>
      <c r="C188" t="s">
        <v>34</v>
      </c>
      <c r="D188" t="s">
        <v>117</v>
      </c>
      <c r="E188" t="s">
        <v>51</v>
      </c>
      <c r="F188" t="s">
        <v>1205</v>
      </c>
      <c r="G188" t="s">
        <v>405</v>
      </c>
      <c r="H188" t="s">
        <v>65</v>
      </c>
      <c r="I188" t="s">
        <v>1206</v>
      </c>
      <c r="J188" t="s">
        <v>1207</v>
      </c>
      <c r="K188" t="s">
        <v>1208</v>
      </c>
      <c r="R188" t="s">
        <v>1209</v>
      </c>
      <c r="S188" t="s">
        <v>1210</v>
      </c>
      <c r="W188" t="s">
        <v>400</v>
      </c>
      <c r="Z188" t="s">
        <v>222</v>
      </c>
      <c r="AA188" t="s">
        <v>125</v>
      </c>
      <c r="AB188" t="s">
        <v>71</v>
      </c>
      <c r="AC188" t="s">
        <v>126</v>
      </c>
      <c r="AD188" t="s">
        <v>127</v>
      </c>
      <c r="AE188" t="s">
        <v>87</v>
      </c>
      <c r="AG188" t="s">
        <v>565</v>
      </c>
      <c r="AM188" t="s">
        <v>270</v>
      </c>
    </row>
    <row r="189" spans="1:52">
      <c r="A189">
        <f>HYPERLINK("https://edge.metroleads.com/companies/0c7e9033-589f-47bc-8bd1-ed16f4709436/leads#/lead/068f2cf9-5181-4a49-b611-a68684c8f161", "068f2cf9-5181-4a49-b611-a68684c8f161")</f>
        <v/>
      </c>
      <c r="B189" t="s">
        <v>1211</v>
      </c>
      <c r="C189" t="s">
        <v>34</v>
      </c>
      <c r="D189" t="s">
        <v>825</v>
      </c>
      <c r="E189" t="s">
        <v>51</v>
      </c>
      <c r="F189" t="s">
        <v>103</v>
      </c>
      <c r="G189" t="s">
        <v>1212</v>
      </c>
      <c r="H189" t="s">
        <v>54</v>
      </c>
      <c r="I189" t="s">
        <v>1213</v>
      </c>
      <c r="J189" t="s">
        <v>1214</v>
      </c>
      <c r="Q189" t="s">
        <v>52</v>
      </c>
      <c r="R189" t="s">
        <v>1209</v>
      </c>
      <c r="S189" t="s">
        <v>1215</v>
      </c>
      <c r="T189" t="s">
        <v>1216</v>
      </c>
      <c r="W189" t="s">
        <v>124</v>
      </c>
      <c r="X189" t="s">
        <v>124</v>
      </c>
      <c r="Y189" t="s">
        <v>124</v>
      </c>
      <c r="Z189" t="s">
        <v>58</v>
      </c>
      <c r="AA189" t="s">
        <v>254</v>
      </c>
      <c r="AB189" t="s">
        <v>71</v>
      </c>
      <c r="AC189" t="s">
        <v>185</v>
      </c>
      <c r="AD189" t="s">
        <v>127</v>
      </c>
      <c r="AE189" t="s">
        <v>87</v>
      </c>
      <c r="AG189" t="s">
        <v>88</v>
      </c>
      <c r="AH189" t="s">
        <v>825</v>
      </c>
      <c r="AI189" t="s">
        <v>54</v>
      </c>
      <c r="AM189" t="s">
        <v>233</v>
      </c>
    </row>
    <row r="190" spans="1:52">
      <c r="A190">
        <f>HYPERLINK("https://edge.metroleads.com/companies/0c7e9033-589f-47bc-8bd1-ed16f4709436/leads#/lead/43581f1d-0d9c-474b-81e3-22633e789b4c", "43581f1d-0d9c-474b-81e3-22633e789b4c")</f>
        <v/>
      </c>
      <c r="B190" t="s">
        <v>1217</v>
      </c>
      <c r="C190" t="s">
        <v>65</v>
      </c>
      <c r="D190" t="s">
        <v>1218</v>
      </c>
      <c r="E190" t="s">
        <v>51</v>
      </c>
      <c r="F190" t="s">
        <v>1219</v>
      </c>
      <c r="G190" t="s">
        <v>1220</v>
      </c>
      <c r="H190" t="s"/>
      <c r="I190" t="s"/>
      <c r="J190" t="s">
        <v>1221</v>
      </c>
      <c r="K190" t="s">
        <v>1222</v>
      </c>
      <c r="Q190" t="s">
        <v>52</v>
      </c>
      <c r="R190" t="s">
        <v>1217</v>
      </c>
      <c r="S190" t="s">
        <v>1223</v>
      </c>
      <c r="T190" t="s">
        <v>1224</v>
      </c>
      <c r="X190" t="s">
        <v>124</v>
      </c>
      <c r="Z190" t="s">
        <v>83</v>
      </c>
      <c r="AB190" t="s">
        <v>421</v>
      </c>
      <c r="AD190" t="s">
        <v>1225</v>
      </c>
      <c r="AF190" t="s">
        <v>1226</v>
      </c>
      <c r="AG190" t="s">
        <v>1227</v>
      </c>
      <c r="AJ190" t="s">
        <v>1228</v>
      </c>
      <c r="AT190" t="s">
        <v>361</v>
      </c>
    </row>
    <row r="191" spans="1:52">
      <c r="A191">
        <f>HYPERLINK("https://edge.metroleads.com/companies/0c7e9033-589f-47bc-8bd1-ed16f4709436/leads#/lead/44612840-f986-47ed-af72-733214f6e1b7", "44612840-f986-47ed-af72-733214f6e1b7")</f>
        <v/>
      </c>
      <c r="B191" t="s">
        <v>1229</v>
      </c>
      <c r="C191" t="s">
        <v>49</v>
      </c>
      <c r="D191" t="s">
        <v>117</v>
      </c>
      <c r="E191" t="s">
        <v>51</v>
      </c>
      <c r="F191" t="s">
        <v>812</v>
      </c>
      <c r="G191" t="s">
        <v>1230</v>
      </c>
      <c r="H191" t="s">
        <v>65</v>
      </c>
      <c r="I191" t="s">
        <v>1231</v>
      </c>
      <c r="J191" t="s">
        <v>1232</v>
      </c>
      <c r="K191" t="s">
        <v>1233</v>
      </c>
      <c r="Q191" t="s">
        <v>1234</v>
      </c>
      <c r="R191" t="s">
        <v>1235</v>
      </c>
      <c r="S191" t="s">
        <v>323</v>
      </c>
      <c r="T191" t="s">
        <v>1236</v>
      </c>
      <c r="W191" t="s">
        <v>1237</v>
      </c>
      <c r="X191" t="s">
        <v>124</v>
      </c>
      <c r="Y191" t="s">
        <v>124</v>
      </c>
      <c r="Z191" t="s">
        <v>83</v>
      </c>
      <c r="AA191" t="s">
        <v>333</v>
      </c>
      <c r="AB191" t="s">
        <v>71</v>
      </c>
      <c r="AC191" t="s">
        <v>126</v>
      </c>
      <c r="AD191" t="s">
        <v>1238</v>
      </c>
      <c r="AE191" t="s">
        <v>87</v>
      </c>
      <c r="AG191" t="s">
        <v>264</v>
      </c>
      <c r="AJ191" t="s">
        <v>1239</v>
      </c>
    </row>
    <row r="192" spans="1:52">
      <c r="A192">
        <f>HYPERLINK("https://edge.metroleads.com/companies/0c7e9033-589f-47bc-8bd1-ed16f4709436/leads#/lead/d0e7d3ba-a2a5-4c75-869f-afbd9d209dbc", "d0e7d3ba-a2a5-4c75-869f-afbd9d209dbc")</f>
        <v/>
      </c>
      <c r="B192" t="s">
        <v>1240</v>
      </c>
      <c r="C192" t="s">
        <v>34</v>
      </c>
      <c r="D192" t="s">
        <v>235</v>
      </c>
      <c r="E192" t="s">
        <v>51</v>
      </c>
      <c r="F192" t="s">
        <v>52</v>
      </c>
      <c r="G192" t="s">
        <v>1241</v>
      </c>
      <c r="H192" t="s">
        <v>54</v>
      </c>
      <c r="I192" t="s">
        <v>1242</v>
      </c>
      <c r="J192" t="s">
        <v>1243</v>
      </c>
      <c r="Y192" t="s">
        <v>57</v>
      </c>
      <c r="Z192" t="s">
        <v>83</v>
      </c>
      <c r="AC192" t="s">
        <v>149</v>
      </c>
      <c r="AG192" t="s">
        <v>150</v>
      </c>
      <c r="AM192" t="s">
        <v>1244</v>
      </c>
      <c r="AT192" t="s">
        <v>62</v>
      </c>
      <c r="AU192" t="s">
        <v>63</v>
      </c>
    </row>
    <row r="193" spans="1:52">
      <c r="A193">
        <f>HYPERLINK("https://edge.metroleads.com/companies/0c7e9033-589f-47bc-8bd1-ed16f4709436/leads#/lead/0ac0016c-b51f-4374-9a80-73b1e86d7136", "0ac0016c-b51f-4374-9a80-73b1e86d7136")</f>
        <v/>
      </c>
      <c r="B193" t="s">
        <v>1228</v>
      </c>
      <c r="C193" t="s">
        <v>65</v>
      </c>
      <c r="D193" t="s">
        <v>276</v>
      </c>
      <c r="E193" t="s">
        <v>51</v>
      </c>
      <c r="F193" t="s">
        <v>1219</v>
      </c>
      <c r="G193" t="s">
        <v>1245</v>
      </c>
      <c r="H193" t="s"/>
      <c r="I193" t="s"/>
      <c r="J193" t="s">
        <v>1246</v>
      </c>
      <c r="K193" t="s">
        <v>1247</v>
      </c>
      <c r="Q193" t="s">
        <v>52</v>
      </c>
      <c r="R193" t="s">
        <v>1248</v>
      </c>
      <c r="S193" t="s">
        <v>1249</v>
      </c>
      <c r="T193" t="s">
        <v>1250</v>
      </c>
      <c r="X193" t="s">
        <v>124</v>
      </c>
      <c r="Z193" t="s">
        <v>490</v>
      </c>
      <c r="AD193" t="s">
        <v>1251</v>
      </c>
      <c r="AF193" t="s">
        <v>1252</v>
      </c>
      <c r="AG193" t="s">
        <v>1227</v>
      </c>
      <c r="AJ193" t="s">
        <v>1228</v>
      </c>
      <c r="AT193" t="s">
        <v>1253</v>
      </c>
    </row>
    <row r="194" spans="1:52">
      <c r="A194">
        <f>HYPERLINK("https://edge.metroleads.com/companies/0c7e9033-589f-47bc-8bd1-ed16f4709436/leads#/lead/cac83f26-2341-49a2-9d9b-5ed82b0c55e7", "cac83f26-2341-49a2-9d9b-5ed82b0c55e7")</f>
        <v/>
      </c>
      <c r="B194" t="s">
        <v>1254</v>
      </c>
      <c r="C194" t="s">
        <v>65</v>
      </c>
      <c r="D194" t="s">
        <v>117</v>
      </c>
      <c r="E194" t="s">
        <v>51</v>
      </c>
      <c r="F194" t="s">
        <v>103</v>
      </c>
      <c r="G194" t="s">
        <v>1255</v>
      </c>
      <c r="H194" t="s">
        <v>119</v>
      </c>
      <c r="I194" t="s">
        <v>1256</v>
      </c>
      <c r="J194" t="s">
        <v>1257</v>
      </c>
      <c r="R194" t="s">
        <v>1258</v>
      </c>
      <c r="S194" t="s">
        <v>1259</v>
      </c>
      <c r="T194" t="s">
        <v>1260</v>
      </c>
      <c r="W194" t="s">
        <v>124</v>
      </c>
      <c r="X194" t="s">
        <v>124</v>
      </c>
      <c r="Z194" t="s">
        <v>222</v>
      </c>
      <c r="AA194" t="s">
        <v>254</v>
      </c>
      <c r="AB194" t="s">
        <v>71</v>
      </c>
      <c r="AC194" t="s">
        <v>185</v>
      </c>
      <c r="AD194" t="s">
        <v>127</v>
      </c>
      <c r="AE194" t="s">
        <v>87</v>
      </c>
      <c r="AG194" t="s">
        <v>61</v>
      </c>
      <c r="AJ194" t="s">
        <v>1261</v>
      </c>
    </row>
    <row r="195" spans="1:52">
      <c r="A195">
        <f>HYPERLINK("https://edge.metroleads.com/companies/0c7e9033-589f-47bc-8bd1-ed16f4709436/leads#/lead/f9760c53-f3d6-472b-b4df-59d67fee99b6", "f9760c53-f3d6-472b-b4df-59d67fee99b6")</f>
        <v/>
      </c>
      <c r="B195" t="s">
        <v>1262</v>
      </c>
      <c r="C195" t="s">
        <v>54</v>
      </c>
      <c r="D195" t="s">
        <v>211</v>
      </c>
      <c r="E195" t="s">
        <v>51</v>
      </c>
      <c r="F195" t="s">
        <v>52</v>
      </c>
      <c r="G195" t="s">
        <v>1263</v>
      </c>
      <c r="H195" t="s">
        <v>65</v>
      </c>
      <c r="I195" t="s">
        <v>1264</v>
      </c>
      <c r="J195" t="s">
        <v>1265</v>
      </c>
      <c r="K195" t="s">
        <v>1266</v>
      </c>
      <c r="Y195" t="s">
        <v>57</v>
      </c>
      <c r="Z195" t="s">
        <v>58</v>
      </c>
      <c r="AC195" t="s">
        <v>59</v>
      </c>
      <c r="AD195" t="s">
        <v>275</v>
      </c>
      <c r="AG195" t="s">
        <v>264</v>
      </c>
      <c r="AT195" t="s">
        <v>62</v>
      </c>
      <c r="AU195" t="s">
        <v>276</v>
      </c>
    </row>
    <row r="196" spans="1:52">
      <c r="A196">
        <f>HYPERLINK("https://edge.metroleads.com/companies/0c7e9033-589f-47bc-8bd1-ed16f4709436/leads#/lead/3282ac49-f4fb-4a15-a7dd-462fa19611f5", "3282ac49-f4fb-4a15-a7dd-462fa19611f5")</f>
        <v/>
      </c>
      <c r="B196" t="s">
        <v>1267</v>
      </c>
      <c r="C196" t="s">
        <v>34</v>
      </c>
      <c r="D196" t="s">
        <v>539</v>
      </c>
      <c r="E196" t="s">
        <v>51</v>
      </c>
      <c r="F196" t="s">
        <v>103</v>
      </c>
      <c r="G196" t="s">
        <v>1268</v>
      </c>
      <c r="H196" t="s">
        <v>65</v>
      </c>
      <c r="I196" t="s">
        <v>1269</v>
      </c>
      <c r="J196" t="s">
        <v>1270</v>
      </c>
      <c r="Q196" t="s">
        <v>52</v>
      </c>
      <c r="R196" t="s">
        <v>1271</v>
      </c>
      <c r="W196" t="s">
        <v>124</v>
      </c>
      <c r="X196" t="s">
        <v>124</v>
      </c>
      <c r="Y196" t="s">
        <v>124</v>
      </c>
      <c r="Z196" t="s">
        <v>58</v>
      </c>
      <c r="AA196" t="s">
        <v>254</v>
      </c>
      <c r="AB196" t="s">
        <v>71</v>
      </c>
      <c r="AC196" t="s">
        <v>658</v>
      </c>
      <c r="AD196" t="s">
        <v>127</v>
      </c>
      <c r="AE196" t="s">
        <v>87</v>
      </c>
      <c r="AG196" t="s">
        <v>61</v>
      </c>
      <c r="AH196" t="s">
        <v>539</v>
      </c>
      <c r="AI196" t="s">
        <v>54</v>
      </c>
      <c r="AM196" t="s">
        <v>89</v>
      </c>
    </row>
    <row r="197" spans="1:52">
      <c r="A197">
        <f>HYPERLINK("https://edge.metroleads.com/companies/0c7e9033-589f-47bc-8bd1-ed16f4709436/leads#/lead/a28c102b-c010-4979-9c09-382394305e94", "a28c102b-c010-4979-9c09-382394305e94")</f>
        <v/>
      </c>
      <c r="B197" t="s">
        <v>1272</v>
      </c>
      <c r="C197" t="s">
        <v>65</v>
      </c>
      <c r="D197" t="s">
        <v>484</v>
      </c>
      <c r="E197" t="s">
        <v>51</v>
      </c>
      <c r="F197" t="s">
        <v>1273</v>
      </c>
      <c r="G197" t="s">
        <v>1274</v>
      </c>
      <c r="H197" t="s">
        <v>365</v>
      </c>
      <c r="I197" t="s">
        <v>1275</v>
      </c>
      <c r="J197" t="s">
        <v>1276</v>
      </c>
      <c r="K197" t="s">
        <v>1277</v>
      </c>
      <c r="O197" t="s">
        <v>1278</v>
      </c>
      <c r="Q197" t="s">
        <v>863</v>
      </c>
      <c r="W197" t="s">
        <v>1107</v>
      </c>
      <c r="Z197" t="s">
        <v>58</v>
      </c>
      <c r="AA197" t="s">
        <v>223</v>
      </c>
      <c r="AB197" t="s">
        <v>71</v>
      </c>
      <c r="AC197" t="s">
        <v>185</v>
      </c>
      <c r="AD197" t="s">
        <v>127</v>
      </c>
      <c r="AE197" t="s">
        <v>87</v>
      </c>
      <c r="AG197" t="s">
        <v>264</v>
      </c>
      <c r="AO197" t="s">
        <v>1279</v>
      </c>
      <c r="AQ197" t="s">
        <v>1279</v>
      </c>
    </row>
    <row r="198" spans="1:52">
      <c r="A198">
        <f>HYPERLINK("https://edge.metroleads.com/companies/0c7e9033-589f-47bc-8bd1-ed16f4709436/leads#/lead/7154de07-be30-49cb-9789-d7f33d60e17f", "7154de07-be30-49cb-9789-d7f33d60e17f")</f>
        <v/>
      </c>
      <c r="B198" t="s">
        <v>1280</v>
      </c>
      <c r="C198" t="s">
        <v>34</v>
      </c>
      <c r="D198" t="s">
        <v>244</v>
      </c>
      <c r="E198" t="s">
        <v>51</v>
      </c>
      <c r="F198" t="s">
        <v>52</v>
      </c>
      <c r="G198" t="s">
        <v>1281</v>
      </c>
      <c r="H198" t="s">
        <v>65</v>
      </c>
      <c r="I198" t="s">
        <v>1282</v>
      </c>
      <c r="J198" t="s">
        <v>1283</v>
      </c>
      <c r="Y198" t="s">
        <v>57</v>
      </c>
      <c r="Z198" t="s">
        <v>83</v>
      </c>
      <c r="AC198" t="s">
        <v>59</v>
      </c>
      <c r="AG198" t="s">
        <v>264</v>
      </c>
      <c r="AM198" t="s">
        <v>113</v>
      </c>
      <c r="AT198" t="s">
        <v>62</v>
      </c>
      <c r="AU198" t="s">
        <v>63</v>
      </c>
    </row>
    <row r="199" spans="1:52">
      <c r="A199">
        <f>HYPERLINK("https://edge.metroleads.com/companies/0c7e9033-589f-47bc-8bd1-ed16f4709436/leads#/lead/2bc9c099-bf69-4b77-8337-123bcd57f04c", "2bc9c099-bf69-4b77-8337-123bcd57f04c")</f>
        <v/>
      </c>
      <c r="B199" t="s">
        <v>1284</v>
      </c>
      <c r="C199" t="s">
        <v>34</v>
      </c>
      <c r="D199" t="s">
        <v>539</v>
      </c>
      <c r="E199" t="s">
        <v>51</v>
      </c>
      <c r="F199" t="s">
        <v>103</v>
      </c>
      <c r="G199" t="s">
        <v>1285</v>
      </c>
      <c r="H199" t="s">
        <v>54</v>
      </c>
      <c r="I199" t="s">
        <v>1286</v>
      </c>
      <c r="J199" t="s">
        <v>1287</v>
      </c>
      <c r="Q199" t="s">
        <v>52</v>
      </c>
      <c r="R199" t="s">
        <v>1209</v>
      </c>
      <c r="S199" t="s">
        <v>1288</v>
      </c>
      <c r="T199" t="s">
        <v>1289</v>
      </c>
      <c r="W199" t="s">
        <v>124</v>
      </c>
      <c r="X199" t="s">
        <v>124</v>
      </c>
      <c r="Y199" t="s">
        <v>124</v>
      </c>
      <c r="Z199" t="s">
        <v>83</v>
      </c>
      <c r="AA199" t="s">
        <v>125</v>
      </c>
      <c r="AB199" t="s">
        <v>71</v>
      </c>
      <c r="AC199" t="s">
        <v>126</v>
      </c>
      <c r="AD199" t="s">
        <v>127</v>
      </c>
      <c r="AE199" t="s">
        <v>87</v>
      </c>
      <c r="AG199" t="s">
        <v>138</v>
      </c>
      <c r="AH199" t="s">
        <v>539</v>
      </c>
      <c r="AI199" t="s">
        <v>49</v>
      </c>
      <c r="AM199" t="s">
        <v>1244</v>
      </c>
    </row>
    <row r="200" spans="1:52">
      <c r="A200">
        <f>HYPERLINK("https://edge.metroleads.com/companies/0c7e9033-589f-47bc-8bd1-ed16f4709436/leads#/lead/f2d227fb-a3d1-481e-b30f-41f176630dfc", "f2d227fb-a3d1-481e-b30f-41f176630dfc")</f>
        <v/>
      </c>
      <c r="B200" t="s">
        <v>1290</v>
      </c>
      <c r="C200" t="s">
        <v>34</v>
      </c>
      <c r="D200" t="s">
        <v>825</v>
      </c>
      <c r="E200" t="s">
        <v>51</v>
      </c>
      <c r="F200" t="s">
        <v>78</v>
      </c>
      <c r="G200" t="s">
        <v>1291</v>
      </c>
      <c r="H200" t="s">
        <v>76</v>
      </c>
      <c r="I200" t="s">
        <v>1292</v>
      </c>
      <c r="J200" t="s">
        <v>1293</v>
      </c>
      <c r="W200" t="s">
        <v>124</v>
      </c>
      <c r="X200" t="s">
        <v>124</v>
      </c>
      <c r="Y200" t="s">
        <v>124</v>
      </c>
      <c r="Z200" t="s">
        <v>222</v>
      </c>
      <c r="AA200" t="s">
        <v>333</v>
      </c>
      <c r="AB200" t="s">
        <v>71</v>
      </c>
      <c r="AC200" t="s">
        <v>185</v>
      </c>
      <c r="AD200" t="s">
        <v>127</v>
      </c>
      <c r="AE200" t="s">
        <v>87</v>
      </c>
      <c r="AG200" t="s">
        <v>88</v>
      </c>
      <c r="AH200" t="s">
        <v>825</v>
      </c>
      <c r="AM200" t="s">
        <v>151</v>
      </c>
    </row>
    <row r="201" spans="1:52">
      <c r="A201">
        <f>HYPERLINK("https://edge.metroleads.com/companies/0c7e9033-589f-47bc-8bd1-ed16f4709436/leads#/lead/bee7dd30-14f8-475a-a360-0821415d935f", "bee7dd30-14f8-475a-a360-0821415d935f")</f>
        <v/>
      </c>
      <c r="B201" t="s">
        <v>1294</v>
      </c>
      <c r="C201" t="s">
        <v>54</v>
      </c>
      <c r="D201" t="s">
        <v>539</v>
      </c>
      <c r="E201" t="s">
        <v>51</v>
      </c>
      <c r="F201" t="s">
        <v>103</v>
      </c>
      <c r="G201" t="s">
        <v>1295</v>
      </c>
      <c r="H201" t="s">
        <v>65</v>
      </c>
      <c r="I201" t="s">
        <v>1296</v>
      </c>
      <c r="J201" t="s">
        <v>1297</v>
      </c>
      <c r="L201" t="s">
        <v>1298</v>
      </c>
      <c r="R201" t="s">
        <v>1299</v>
      </c>
      <c r="S201" t="s">
        <v>1300</v>
      </c>
      <c r="T201" t="s">
        <v>1301</v>
      </c>
      <c r="W201" t="s">
        <v>124</v>
      </c>
      <c r="X201" t="s">
        <v>124</v>
      </c>
      <c r="Y201" t="s">
        <v>124</v>
      </c>
      <c r="Z201" t="s">
        <v>83</v>
      </c>
      <c r="AA201" t="s">
        <v>333</v>
      </c>
      <c r="AB201" t="s">
        <v>71</v>
      </c>
      <c r="AC201" t="s">
        <v>126</v>
      </c>
      <c r="AD201" t="s">
        <v>864</v>
      </c>
      <c r="AE201" t="s">
        <v>87</v>
      </c>
      <c r="AG201" t="s">
        <v>1302</v>
      </c>
      <c r="AH201" t="s">
        <v>539</v>
      </c>
      <c r="AI201" t="s">
        <v>54</v>
      </c>
    </row>
    <row r="202" spans="1:52">
      <c r="A202">
        <f>HYPERLINK("https://edge.metroleads.com/companies/0c7e9033-589f-47bc-8bd1-ed16f4709436/leads#/lead/f2e51903-a06b-40b9-8eb7-322c9caf78d5", "f2e51903-a06b-40b9-8eb7-322c9caf78d5")</f>
        <v/>
      </c>
      <c r="B202" t="s">
        <v>1303</v>
      </c>
      <c r="C202" t="s">
        <v>34</v>
      </c>
      <c r="D202" t="s">
        <v>539</v>
      </c>
      <c r="E202" t="s">
        <v>51</v>
      </c>
      <c r="F202" t="s">
        <v>1304</v>
      </c>
      <c r="G202" t="s">
        <v>1305</v>
      </c>
      <c r="H202" t="s">
        <v>265</v>
      </c>
      <c r="I202" t="s">
        <v>1306</v>
      </c>
      <c r="J202" t="s">
        <v>1307</v>
      </c>
      <c r="K202" t="s">
        <v>1308</v>
      </c>
      <c r="W202" t="s">
        <v>124</v>
      </c>
      <c r="X202" t="s">
        <v>124</v>
      </c>
      <c r="Y202" t="s">
        <v>124</v>
      </c>
      <c r="Z202" t="s">
        <v>83</v>
      </c>
      <c r="AA202" t="s">
        <v>125</v>
      </c>
      <c r="AB202" t="s">
        <v>71</v>
      </c>
      <c r="AC202" t="s">
        <v>126</v>
      </c>
      <c r="AD202" t="s">
        <v>127</v>
      </c>
      <c r="AE202" t="s">
        <v>87</v>
      </c>
      <c r="AG202" t="s">
        <v>565</v>
      </c>
      <c r="AH202" t="s">
        <v>539</v>
      </c>
      <c r="AI202" t="s">
        <v>54</v>
      </c>
      <c r="AM202" t="s">
        <v>225</v>
      </c>
    </row>
    <row r="203" spans="1:52">
      <c r="A203">
        <f>HYPERLINK("https://edge.metroleads.com/companies/0c7e9033-589f-47bc-8bd1-ed16f4709436/leads#/lead/0055cf5f-72f2-4ae9-811c-d0a108b4e990", "0055cf5f-72f2-4ae9-811c-d0a108b4e990")</f>
        <v/>
      </c>
      <c r="B203" t="s">
        <v>1309</v>
      </c>
      <c r="C203" t="s">
        <v>34</v>
      </c>
      <c r="D203" t="s">
        <v>539</v>
      </c>
      <c r="E203" t="s">
        <v>51</v>
      </c>
      <c r="F203" t="s">
        <v>103</v>
      </c>
      <c r="G203" t="s">
        <v>1310</v>
      </c>
      <c r="H203" t="s">
        <v>265</v>
      </c>
      <c r="I203" t="s">
        <v>1311</v>
      </c>
      <c r="J203" t="s">
        <v>1312</v>
      </c>
      <c r="Q203" t="s">
        <v>52</v>
      </c>
      <c r="R203" t="s">
        <v>1313</v>
      </c>
      <c r="S203" t="s">
        <v>1314</v>
      </c>
      <c r="T203" t="s">
        <v>1315</v>
      </c>
      <c r="W203" t="s">
        <v>124</v>
      </c>
      <c r="X203" t="s">
        <v>124</v>
      </c>
      <c r="Y203" t="s">
        <v>124</v>
      </c>
      <c r="Z203" t="s">
        <v>83</v>
      </c>
      <c r="AA203" t="s">
        <v>125</v>
      </c>
      <c r="AB203" t="s">
        <v>71</v>
      </c>
      <c r="AC203" t="s">
        <v>126</v>
      </c>
      <c r="AD203" t="s">
        <v>127</v>
      </c>
      <c r="AE203" t="s">
        <v>87</v>
      </c>
      <c r="AG203" t="s">
        <v>565</v>
      </c>
      <c r="AH203" t="s">
        <v>539</v>
      </c>
      <c r="AI203" t="s">
        <v>54</v>
      </c>
      <c r="AM203" t="s">
        <v>151</v>
      </c>
    </row>
    <row r="204" spans="1:52">
      <c r="A204">
        <f>HYPERLINK("https://edge.metroleads.com/companies/0c7e9033-589f-47bc-8bd1-ed16f4709436/leads#/lead/6bbebf8b-c4af-44fe-b62e-cd3990fa55d2", "6bbebf8b-c4af-44fe-b62e-cd3990fa55d2")</f>
        <v/>
      </c>
      <c r="B204" t="s">
        <v>1316</v>
      </c>
      <c r="C204" t="s">
        <v>65</v>
      </c>
      <c r="D204" t="s">
        <v>1317</v>
      </c>
      <c r="E204" t="s">
        <v>51</v>
      </c>
      <c r="F204" t="s">
        <v>1318</v>
      </c>
      <c r="G204" t="s">
        <v>1319</v>
      </c>
      <c r="H204" t="s">
        <v>119</v>
      </c>
      <c r="I204" t="s">
        <v>1320</v>
      </c>
      <c r="J204" t="s">
        <v>1321</v>
      </c>
      <c r="K204" t="s">
        <v>1322</v>
      </c>
      <c r="M204" t="s">
        <v>1323</v>
      </c>
      <c r="Q204" t="s">
        <v>52</v>
      </c>
      <c r="R204" t="s">
        <v>1324</v>
      </c>
      <c r="T204" t="s">
        <v>1325</v>
      </c>
      <c r="X204" t="s">
        <v>468</v>
      </c>
      <c r="Y204" t="s">
        <v>69</v>
      </c>
      <c r="Z204" t="s">
        <v>369</v>
      </c>
      <c r="AB204" t="s">
        <v>421</v>
      </c>
      <c r="AC204" t="s">
        <v>282</v>
      </c>
      <c r="AD204" t="s">
        <v>1326</v>
      </c>
      <c r="AF204" t="s">
        <v>1228</v>
      </c>
      <c r="AG204" t="s">
        <v>304</v>
      </c>
      <c r="AJ204" t="s">
        <v>1327</v>
      </c>
      <c r="AT204" t="s">
        <v>62</v>
      </c>
      <c r="AU204" t="s">
        <v>63</v>
      </c>
      <c r="AV204" t="s">
        <v>69</v>
      </c>
      <c r="AW204" t="s">
        <v>369</v>
      </c>
      <c r="AX204" t="s">
        <v>282</v>
      </c>
    </row>
    <row r="205" spans="1:52">
      <c r="A205">
        <f>HYPERLINK("https://edge.metroleads.com/companies/0c7e9033-589f-47bc-8bd1-ed16f4709436/leads#/lead/d5c04cdf-f3e4-48fc-b44e-b8fe7ad7368c", "d5c04cdf-f3e4-48fc-b44e-b8fe7ad7368c")</f>
        <v/>
      </c>
      <c r="B205" t="s">
        <v>1328</v>
      </c>
      <c r="C205" t="s">
        <v>34</v>
      </c>
      <c r="D205" t="s">
        <v>117</v>
      </c>
      <c r="E205" t="s">
        <v>51</v>
      </c>
      <c r="F205" t="s"/>
      <c r="G205" t="s">
        <v>1329</v>
      </c>
      <c r="H205" t="s">
        <v>365</v>
      </c>
      <c r="I205" t="s">
        <v>1330</v>
      </c>
      <c r="J205" t="s">
        <v>1331</v>
      </c>
      <c r="Q205" t="s">
        <v>52</v>
      </c>
      <c r="R205" t="s">
        <v>1332</v>
      </c>
      <c r="S205" t="s">
        <v>1333</v>
      </c>
      <c r="T205" t="s">
        <v>1334</v>
      </c>
      <c r="W205" t="s">
        <v>124</v>
      </c>
      <c r="X205" t="s">
        <v>124</v>
      </c>
      <c r="Z205" t="s">
        <v>58</v>
      </c>
      <c r="AA205" t="s">
        <v>254</v>
      </c>
      <c r="AB205" t="s">
        <v>71</v>
      </c>
      <c r="AC205" t="s">
        <v>658</v>
      </c>
      <c r="AD205" t="s">
        <v>864</v>
      </c>
      <c r="AE205" t="s">
        <v>87</v>
      </c>
      <c r="AG205" t="s">
        <v>150</v>
      </c>
      <c r="AJ205" t="s">
        <v>881</v>
      </c>
      <c r="AM205" t="s">
        <v>151</v>
      </c>
    </row>
    <row r="206" spans="1:52">
      <c r="A206">
        <f>HYPERLINK("https://edge.metroleads.com/companies/0c7e9033-589f-47bc-8bd1-ed16f4709436/leads#/lead/bdefae71-127a-4f94-af44-af229db42845", "bdefae71-127a-4f94-af44-af229db42845")</f>
        <v/>
      </c>
      <c r="B206" t="s">
        <v>1228</v>
      </c>
      <c r="C206" t="s">
        <v>65</v>
      </c>
      <c r="D206" t="s">
        <v>1189</v>
      </c>
      <c r="E206" t="s">
        <v>51</v>
      </c>
      <c r="F206" t="s">
        <v>1335</v>
      </c>
      <c r="G206" t="s">
        <v>1336</v>
      </c>
      <c r="H206" t="s">
        <v>119</v>
      </c>
      <c r="I206" t="s">
        <v>1337</v>
      </c>
      <c r="J206" t="s">
        <v>1338</v>
      </c>
      <c r="K206" t="s">
        <v>1339</v>
      </c>
      <c r="Q206" t="s">
        <v>399</v>
      </c>
      <c r="X206" t="s">
        <v>124</v>
      </c>
      <c r="Z206" t="s">
        <v>369</v>
      </c>
      <c r="AD206" t="s">
        <v>1251</v>
      </c>
      <c r="AF206" t="s">
        <v>1340</v>
      </c>
      <c r="AG206" t="s">
        <v>428</v>
      </c>
      <c r="AJ206" t="s">
        <v>1341</v>
      </c>
      <c r="AK206" t="s">
        <v>428</v>
      </c>
      <c r="AL206" t="s">
        <v>1342</v>
      </c>
      <c r="AT206" t="s">
        <v>1343</v>
      </c>
      <c r="AV206" t="s">
        <v>1344</v>
      </c>
      <c r="AW206" t="s">
        <v>369</v>
      </c>
    </row>
    <row r="207" spans="1:52">
      <c r="A207">
        <f>HYPERLINK("https://edge.metroleads.com/companies/0c7e9033-589f-47bc-8bd1-ed16f4709436/leads#/lead/e0b1920a-50dc-42fd-9d11-1d80b16e8993", "e0b1920a-50dc-42fd-9d11-1d80b16e8993")</f>
        <v/>
      </c>
      <c r="B207" t="s">
        <v>1345</v>
      </c>
      <c r="C207" t="s">
        <v>34</v>
      </c>
      <c r="D207" t="s">
        <v>539</v>
      </c>
      <c r="E207" t="s">
        <v>51</v>
      </c>
      <c r="F207" t="s">
        <v>103</v>
      </c>
      <c r="G207" t="s">
        <v>1346</v>
      </c>
      <c r="H207" t="s">
        <v>65</v>
      </c>
      <c r="I207" t="s">
        <v>1347</v>
      </c>
      <c r="J207" t="s">
        <v>1348</v>
      </c>
      <c r="Q207" t="s">
        <v>52</v>
      </c>
      <c r="R207" t="s">
        <v>1349</v>
      </c>
      <c r="S207" t="s">
        <v>1350</v>
      </c>
      <c r="T207" t="s">
        <v>1351</v>
      </c>
      <c r="W207" t="s">
        <v>124</v>
      </c>
      <c r="X207" t="s">
        <v>124</v>
      </c>
      <c r="Y207" t="s">
        <v>124</v>
      </c>
      <c r="Z207" t="s">
        <v>58</v>
      </c>
      <c r="AA207" t="s">
        <v>254</v>
      </c>
      <c r="AB207" t="s">
        <v>71</v>
      </c>
      <c r="AC207" t="s">
        <v>185</v>
      </c>
      <c r="AD207" t="s">
        <v>127</v>
      </c>
      <c r="AE207" t="s">
        <v>87</v>
      </c>
      <c r="AG207" t="s">
        <v>159</v>
      </c>
      <c r="AH207" t="s">
        <v>539</v>
      </c>
      <c r="AI207" t="s">
        <v>54</v>
      </c>
      <c r="AM207" t="s">
        <v>89</v>
      </c>
    </row>
    <row r="208" spans="1:52">
      <c r="A208">
        <f>HYPERLINK("https://edge.metroleads.com/companies/0c7e9033-589f-47bc-8bd1-ed16f4709436/leads#/lead/d5d1d096-1e84-4699-8e0e-53c48e8cb538", "d5d1d096-1e84-4699-8e0e-53c48e8cb538")</f>
        <v/>
      </c>
      <c r="B208" t="s">
        <v>1352</v>
      </c>
      <c r="C208" t="s">
        <v>54</v>
      </c>
      <c r="D208" t="s">
        <v>539</v>
      </c>
      <c r="E208" t="s">
        <v>51</v>
      </c>
      <c r="F208" t="s">
        <v>103</v>
      </c>
      <c r="G208" t="s">
        <v>1353</v>
      </c>
      <c r="H208" t="s">
        <v>265</v>
      </c>
      <c r="I208" t="s">
        <v>1354</v>
      </c>
      <c r="J208" t="s">
        <v>1355</v>
      </c>
      <c r="Q208" t="s">
        <v>52</v>
      </c>
      <c r="R208" t="s">
        <v>902</v>
      </c>
      <c r="S208" t="s">
        <v>903</v>
      </c>
      <c r="T208" t="s">
        <v>904</v>
      </c>
      <c r="W208" t="s">
        <v>124</v>
      </c>
      <c r="X208" t="s">
        <v>124</v>
      </c>
      <c r="Y208" t="s">
        <v>124</v>
      </c>
      <c r="Z208" t="s">
        <v>58</v>
      </c>
      <c r="AA208" t="s">
        <v>254</v>
      </c>
      <c r="AB208" t="s">
        <v>71</v>
      </c>
      <c r="AC208" t="s">
        <v>658</v>
      </c>
      <c r="AD208" t="s">
        <v>127</v>
      </c>
      <c r="AE208" t="s">
        <v>87</v>
      </c>
      <c r="AG208" t="s">
        <v>88</v>
      </c>
      <c r="AH208" t="s">
        <v>539</v>
      </c>
      <c r="AI208" t="s">
        <v>54</v>
      </c>
    </row>
    <row r="209" spans="1:52">
      <c r="A209">
        <f>HYPERLINK("https://edge.metroleads.com/companies/0c7e9033-589f-47bc-8bd1-ed16f4709436/leads#/lead/edcaea08-581a-43f0-ab15-32fe5122375a", "edcaea08-581a-43f0-ab15-32fe5122375a")</f>
        <v/>
      </c>
      <c r="B209" t="s">
        <v>1356</v>
      </c>
      <c r="C209" t="s">
        <v>65</v>
      </c>
      <c r="D209" t="s">
        <v>117</v>
      </c>
      <c r="E209" t="s">
        <v>51</v>
      </c>
      <c r="F209" t="s">
        <v>103</v>
      </c>
      <c r="G209" t="s">
        <v>1357</v>
      </c>
      <c r="H209" t="s">
        <v>119</v>
      </c>
      <c r="I209" t="s">
        <v>1358</v>
      </c>
      <c r="J209" t="s">
        <v>1359</v>
      </c>
      <c r="Q209" t="s">
        <v>52</v>
      </c>
      <c r="R209" t="s">
        <v>1360</v>
      </c>
      <c r="S209" t="s">
        <v>1361</v>
      </c>
      <c r="T209" t="s">
        <v>1362</v>
      </c>
      <c r="W209" t="s">
        <v>124</v>
      </c>
      <c r="X209" t="s">
        <v>124</v>
      </c>
      <c r="Y209" t="s">
        <v>124</v>
      </c>
      <c r="Z209" t="s">
        <v>58</v>
      </c>
      <c r="AA209" t="s">
        <v>254</v>
      </c>
      <c r="AB209" t="s">
        <v>71</v>
      </c>
      <c r="AC209" t="s">
        <v>185</v>
      </c>
      <c r="AD209" t="s">
        <v>127</v>
      </c>
      <c r="AE209" t="s">
        <v>87</v>
      </c>
      <c r="AG209" t="s">
        <v>150</v>
      </c>
      <c r="AJ209" t="s">
        <v>1132</v>
      </c>
    </row>
    <row r="210" spans="1:52">
      <c r="A210">
        <f>HYPERLINK("https://edge.metroleads.com/companies/0c7e9033-589f-47bc-8bd1-ed16f4709436/leads#/lead/7b8f5d11-ec67-4c5d-837c-10f1bfff931a", "7b8f5d11-ec67-4c5d-837c-10f1bfff931a")</f>
        <v/>
      </c>
      <c r="B210" t="s">
        <v>1363</v>
      </c>
      <c r="C210" t="s">
        <v>34</v>
      </c>
      <c r="D210" t="s">
        <v>1189</v>
      </c>
      <c r="E210" t="s">
        <v>51</v>
      </c>
      <c r="F210" t="s">
        <v>52</v>
      </c>
      <c r="G210" t="s">
        <v>1364</v>
      </c>
      <c r="H210" t="s">
        <v>65</v>
      </c>
      <c r="I210" t="s">
        <v>1365</v>
      </c>
      <c r="J210" t="s">
        <v>1366</v>
      </c>
      <c r="Y210" t="s">
        <v>124</v>
      </c>
      <c r="Z210" t="s">
        <v>192</v>
      </c>
      <c r="AB210" t="s">
        <v>421</v>
      </c>
      <c r="AC210" t="s">
        <v>282</v>
      </c>
      <c r="AG210" t="s">
        <v>319</v>
      </c>
      <c r="AM210" t="s">
        <v>1193</v>
      </c>
      <c r="AT210" t="s">
        <v>62</v>
      </c>
      <c r="AU210" t="s">
        <v>276</v>
      </c>
    </row>
    <row r="211" spans="1:52">
      <c r="A211">
        <f>HYPERLINK("https://edge.metroleads.com/companies/0c7e9033-589f-47bc-8bd1-ed16f4709436/leads#/lead/1f935fd7-ffab-4bc9-99d9-9c151edc5fd2", "1f935fd7-ffab-4bc9-99d9-9c151edc5fd2")</f>
        <v/>
      </c>
      <c r="B211" t="s">
        <v>1367</v>
      </c>
      <c r="C211" t="s">
        <v>34</v>
      </c>
      <c r="D211" t="s">
        <v>1189</v>
      </c>
      <c r="E211" t="s">
        <v>51</v>
      </c>
      <c r="F211" t="s">
        <v>161</v>
      </c>
      <c r="G211" t="s">
        <v>1368</v>
      </c>
      <c r="H211" t="s">
        <v>65</v>
      </c>
      <c r="I211" t="s">
        <v>1369</v>
      </c>
      <c r="J211" t="s">
        <v>1370</v>
      </c>
      <c r="K211" t="s">
        <v>1371</v>
      </c>
      <c r="Y211" t="s">
        <v>69</v>
      </c>
      <c r="Z211" t="s">
        <v>94</v>
      </c>
      <c r="AB211" t="s">
        <v>71</v>
      </c>
      <c r="AC211" t="s">
        <v>449</v>
      </c>
      <c r="AD211" t="s">
        <v>1372</v>
      </c>
      <c r="AG211" t="s">
        <v>319</v>
      </c>
      <c r="AM211" t="s">
        <v>1193</v>
      </c>
      <c r="AT211" t="s">
        <v>62</v>
      </c>
      <c r="AU211" t="s">
        <v>74</v>
      </c>
    </row>
    <row r="212" spans="1:52">
      <c r="A212">
        <f>HYPERLINK("https://edge.metroleads.com/companies/0c7e9033-589f-47bc-8bd1-ed16f4709436/leads#/lead/99d3613a-1e51-4bbb-ab72-7d593367482b", "99d3613a-1e51-4bbb-ab72-7d593367482b")</f>
        <v/>
      </c>
      <c r="B212" t="s">
        <v>1373</v>
      </c>
      <c r="C212" t="s">
        <v>65</v>
      </c>
      <c r="D212" t="s">
        <v>1374</v>
      </c>
      <c r="E212" t="s">
        <v>51</v>
      </c>
      <c r="F212" t="s">
        <v>1375</v>
      </c>
      <c r="G212" t="s">
        <v>1376</v>
      </c>
      <c r="H212" t="s"/>
      <c r="I212" t="s"/>
      <c r="J212" t="s">
        <v>1377</v>
      </c>
      <c r="Y212" t="s">
        <v>124</v>
      </c>
      <c r="Z212" t="s">
        <v>369</v>
      </c>
      <c r="AB212" t="s">
        <v>71</v>
      </c>
      <c r="AC212" t="s">
        <v>282</v>
      </c>
      <c r="AF212" t="s">
        <v>1378</v>
      </c>
      <c r="AG212" t="s">
        <v>319</v>
      </c>
      <c r="AT212" t="s">
        <v>62</v>
      </c>
      <c r="AU212" t="s">
        <v>276</v>
      </c>
    </row>
    <row r="213" spans="1:52">
      <c r="A213">
        <f>HYPERLINK("https://edge.metroleads.com/companies/0c7e9033-589f-47bc-8bd1-ed16f4709436/leads#/lead/009c2a29-5456-470a-8688-0016a5c23437", "009c2a29-5456-470a-8688-0016a5c23437")</f>
        <v/>
      </c>
      <c r="B213" t="s">
        <v>1379</v>
      </c>
      <c r="C213" t="s">
        <v>65</v>
      </c>
      <c r="D213" t="s">
        <v>1374</v>
      </c>
      <c r="E213" t="s">
        <v>51</v>
      </c>
      <c r="F213" t="s">
        <v>1380</v>
      </c>
      <c r="G213" t="s">
        <v>1381</v>
      </c>
      <c r="H213" t="s"/>
      <c r="I213" t="s"/>
      <c r="J213" t="s">
        <v>1382</v>
      </c>
      <c r="Y213" t="s">
        <v>124</v>
      </c>
      <c r="Z213" t="s">
        <v>58</v>
      </c>
      <c r="AC213" t="s">
        <v>282</v>
      </c>
      <c r="AG213" t="s">
        <v>319</v>
      </c>
      <c r="AT213" t="s">
        <v>62</v>
      </c>
      <c r="AU213" t="s">
        <v>276</v>
      </c>
    </row>
    <row r="214" spans="1:52">
      <c r="A214">
        <f>HYPERLINK("https://edge.metroleads.com/companies/0c7e9033-589f-47bc-8bd1-ed16f4709436/leads#/lead/b0cdf5c7-e026-4109-bfdb-15111c45335c", "b0cdf5c7-e026-4109-bfdb-15111c45335c")</f>
        <v/>
      </c>
      <c r="B214" t="s">
        <v>1383</v>
      </c>
      <c r="C214" t="s">
        <v>34</v>
      </c>
      <c r="D214" t="s">
        <v>117</v>
      </c>
      <c r="E214" t="s">
        <v>805</v>
      </c>
      <c r="F214" t="s">
        <v>1384</v>
      </c>
      <c r="G214" t="s">
        <v>1385</v>
      </c>
      <c r="H214" t="s">
        <v>54</v>
      </c>
      <c r="I214" t="s">
        <v>1386</v>
      </c>
      <c r="J214" t="s">
        <v>1387</v>
      </c>
      <c r="K214" t="s">
        <v>1388</v>
      </c>
      <c r="W214" t="s">
        <v>124</v>
      </c>
      <c r="X214" t="s">
        <v>124</v>
      </c>
      <c r="Z214" t="s">
        <v>58</v>
      </c>
      <c r="AA214" t="s">
        <v>254</v>
      </c>
      <c r="AB214" t="s">
        <v>71</v>
      </c>
      <c r="AC214" t="s">
        <v>658</v>
      </c>
      <c r="AD214" t="s">
        <v>1225</v>
      </c>
      <c r="AE214" t="s">
        <v>87</v>
      </c>
      <c r="AG214" t="s">
        <v>565</v>
      </c>
      <c r="AJ214" t="s">
        <v>1389</v>
      </c>
      <c r="AM214" t="s">
        <v>151</v>
      </c>
      <c r="AP214" t="s">
        <v>812</v>
      </c>
    </row>
    <row r="215" spans="1:52">
      <c r="A215">
        <f>HYPERLINK("https://edge.metroleads.com/companies/0c7e9033-589f-47bc-8bd1-ed16f4709436/leads#/lead/0364666d-e7f5-4189-be13-48f4945cff48", "0364666d-e7f5-4189-be13-48f4945cff48")</f>
        <v/>
      </c>
      <c r="B215" t="s">
        <v>1390</v>
      </c>
      <c r="C215" t="s">
        <v>65</v>
      </c>
      <c r="D215" t="s">
        <v>1374</v>
      </c>
      <c r="E215" t="s">
        <v>51</v>
      </c>
      <c r="F215" t="s">
        <v>161</v>
      </c>
      <c r="G215" t="s">
        <v>1391</v>
      </c>
      <c r="H215" t="s"/>
      <c r="I215" t="s"/>
      <c r="J215" t="s">
        <v>1392</v>
      </c>
      <c r="Y215" t="s">
        <v>124</v>
      </c>
      <c r="Z215" t="s">
        <v>58</v>
      </c>
      <c r="AC215" t="s">
        <v>171</v>
      </c>
      <c r="AG215" t="s">
        <v>150</v>
      </c>
      <c r="AH215" t="s">
        <v>825</v>
      </c>
      <c r="AT215" t="s">
        <v>62</v>
      </c>
      <c r="AU215" t="s">
        <v>1393</v>
      </c>
    </row>
    <row r="216" spans="1:52">
      <c r="A216">
        <f>HYPERLINK("https://edge.metroleads.com/companies/0c7e9033-589f-47bc-8bd1-ed16f4709436/leads#/lead/9b15c69c-1b33-45f6-9912-e5a77b745a3d", "9b15c69c-1b33-45f6-9912-e5a77b745a3d")</f>
        <v/>
      </c>
      <c r="B216" t="s">
        <v>1394</v>
      </c>
      <c r="C216" t="s">
        <v>65</v>
      </c>
      <c r="D216" t="s">
        <v>1374</v>
      </c>
      <c r="E216" t="s">
        <v>51</v>
      </c>
      <c r="F216" t="s">
        <v>161</v>
      </c>
      <c r="G216" t="s">
        <v>1395</v>
      </c>
      <c r="H216" t="s"/>
      <c r="I216" t="s"/>
      <c r="J216" t="s">
        <v>1396</v>
      </c>
      <c r="Y216" t="s">
        <v>124</v>
      </c>
      <c r="Z216" t="s">
        <v>58</v>
      </c>
      <c r="AC216" t="s">
        <v>171</v>
      </c>
      <c r="AG216" t="s">
        <v>150</v>
      </c>
      <c r="AT216" t="s">
        <v>62</v>
      </c>
      <c r="AU216" t="s">
        <v>1393</v>
      </c>
    </row>
    <row r="217" spans="1:52">
      <c r="A217">
        <f>HYPERLINK("https://edge.metroleads.com/companies/0c7e9033-589f-47bc-8bd1-ed16f4709436/leads#/lead/d6d43255-81fc-4094-a67f-1ac0c07373fc", "d6d43255-81fc-4094-a67f-1ac0c07373fc")</f>
        <v/>
      </c>
      <c r="B217" t="s">
        <v>1397</v>
      </c>
      <c r="C217" t="s">
        <v>34</v>
      </c>
      <c r="D217" t="s">
        <v>328</v>
      </c>
      <c r="E217" t="s">
        <v>51</v>
      </c>
      <c r="F217" t="s">
        <v>1398</v>
      </c>
      <c r="G217" t="s">
        <v>1274</v>
      </c>
      <c r="H217" t="s">
        <v>65</v>
      </c>
      <c r="I217" t="s">
        <v>1399</v>
      </c>
      <c r="J217" t="s">
        <v>1400</v>
      </c>
      <c r="L217" t="s">
        <v>1401</v>
      </c>
      <c r="N217" t="s">
        <v>1402</v>
      </c>
      <c r="O217" t="s">
        <v>1403</v>
      </c>
      <c r="P217" t="s">
        <v>1404</v>
      </c>
      <c r="Q217" t="s">
        <v>467</v>
      </c>
      <c r="R217" t="s">
        <v>1405</v>
      </c>
      <c r="S217" t="s">
        <v>1405</v>
      </c>
      <c r="W217" t="s">
        <v>1406</v>
      </c>
      <c r="X217" t="s">
        <v>57</v>
      </c>
      <c r="Y217" t="s">
        <v>69</v>
      </c>
      <c r="Z217" t="s">
        <v>83</v>
      </c>
      <c r="AC217" t="s">
        <v>449</v>
      </c>
      <c r="AD217" t="s">
        <v>1372</v>
      </c>
      <c r="AF217" t="s">
        <v>1372</v>
      </c>
      <c r="AG217" t="s">
        <v>319</v>
      </c>
      <c r="AH217" t="s">
        <v>1407</v>
      </c>
      <c r="AM217" t="s">
        <v>1193</v>
      </c>
      <c r="AT217" t="s">
        <v>62</v>
      </c>
      <c r="AU217" t="s">
        <v>74</v>
      </c>
    </row>
    <row r="218" spans="1:52">
      <c r="A218">
        <f>HYPERLINK("https://edge.metroleads.com/companies/0c7e9033-589f-47bc-8bd1-ed16f4709436/leads#/lead/b33e9e4b-15aa-459c-902c-4b29412bade6", "b33e9e4b-15aa-459c-902c-4b29412bade6")</f>
        <v/>
      </c>
      <c r="B218" t="s">
        <v>1408</v>
      </c>
      <c r="C218" t="s">
        <v>247</v>
      </c>
      <c r="D218" t="s">
        <v>211</v>
      </c>
      <c r="E218" t="s">
        <v>51</v>
      </c>
      <c r="F218" t="s">
        <v>1409</v>
      </c>
      <c r="G218" t="s">
        <v>1346</v>
      </c>
      <c r="H218" t="s">
        <v>65</v>
      </c>
      <c r="I218" t="s">
        <v>1410</v>
      </c>
      <c r="J218" t="s">
        <v>1411</v>
      </c>
      <c r="Q218" t="s">
        <v>399</v>
      </c>
      <c r="W218" t="s">
        <v>57</v>
      </c>
      <c r="X218" t="s">
        <v>57</v>
      </c>
      <c r="Y218" t="s">
        <v>57</v>
      </c>
      <c r="Z218" t="s">
        <v>83</v>
      </c>
      <c r="AA218" t="s">
        <v>333</v>
      </c>
      <c r="AB218" t="s">
        <v>71</v>
      </c>
      <c r="AC218" t="s">
        <v>185</v>
      </c>
      <c r="AE218" t="s">
        <v>87</v>
      </c>
      <c r="AG218" t="s">
        <v>159</v>
      </c>
      <c r="AH218" t="s">
        <v>211</v>
      </c>
      <c r="AT218" t="s">
        <v>62</v>
      </c>
      <c r="AU218" t="s">
        <v>63</v>
      </c>
      <c r="AV218" t="s">
        <v>57</v>
      </c>
      <c r="AW218" t="s">
        <v>83</v>
      </c>
      <c r="AX218" t="s">
        <v>149</v>
      </c>
    </row>
    <row r="219" spans="1:52">
      <c r="A219">
        <f>HYPERLINK("https://edge.metroleads.com/companies/0c7e9033-589f-47bc-8bd1-ed16f4709436/leads#/lead/5c571098-cc92-45e4-8abd-15e43eb50968", "5c571098-cc92-45e4-8abd-15e43eb50968")</f>
        <v/>
      </c>
      <c r="B219" t="s">
        <v>1412</v>
      </c>
      <c r="C219" t="s">
        <v>54</v>
      </c>
      <c r="D219" t="s">
        <v>825</v>
      </c>
      <c r="E219" t="s">
        <v>51</v>
      </c>
      <c r="F219" t="s">
        <v>103</v>
      </c>
      <c r="G219" t="s">
        <v>1413</v>
      </c>
      <c r="H219" t="s">
        <v>119</v>
      </c>
      <c r="I219" t="s">
        <v>1414</v>
      </c>
      <c r="J219" t="s">
        <v>1415</v>
      </c>
      <c r="Q219" t="s">
        <v>52</v>
      </c>
      <c r="R219" t="s">
        <v>1416</v>
      </c>
      <c r="S219" t="s">
        <v>1417</v>
      </c>
      <c r="W219" t="s">
        <v>124</v>
      </c>
      <c r="X219" t="s">
        <v>124</v>
      </c>
      <c r="Y219" t="s">
        <v>124</v>
      </c>
      <c r="Z219" t="s">
        <v>58</v>
      </c>
      <c r="AA219" t="s">
        <v>254</v>
      </c>
      <c r="AB219" t="s">
        <v>421</v>
      </c>
      <c r="AC219" t="s">
        <v>185</v>
      </c>
      <c r="AD219" t="s">
        <v>127</v>
      </c>
      <c r="AE219" t="s">
        <v>87</v>
      </c>
      <c r="AG219" t="s">
        <v>159</v>
      </c>
      <c r="AH219" t="s">
        <v>825</v>
      </c>
    </row>
    <row r="220" spans="1:52">
      <c r="A220">
        <f>HYPERLINK("https://edge.metroleads.com/companies/0c7e9033-589f-47bc-8bd1-ed16f4709436/leads#/lead/52b6491a-f436-4345-8ec0-bc40716847ba", "52b6491a-f436-4345-8ec0-bc40716847ba")</f>
        <v/>
      </c>
      <c r="B220" t="s">
        <v>1418</v>
      </c>
      <c r="C220" t="s">
        <v>34</v>
      </c>
      <c r="D220" t="s">
        <v>539</v>
      </c>
      <c r="E220" t="s">
        <v>51</v>
      </c>
      <c r="F220" t="s">
        <v>103</v>
      </c>
      <c r="G220" t="s">
        <v>1419</v>
      </c>
      <c r="H220" t="s">
        <v>265</v>
      </c>
      <c r="I220" t="s">
        <v>1420</v>
      </c>
      <c r="J220" t="s">
        <v>1421</v>
      </c>
      <c r="Q220" t="s">
        <v>52</v>
      </c>
      <c r="R220" t="s">
        <v>1258</v>
      </c>
      <c r="S220" t="s">
        <v>1422</v>
      </c>
      <c r="W220" t="s">
        <v>124</v>
      </c>
      <c r="X220" t="s">
        <v>124</v>
      </c>
      <c r="Y220" t="s">
        <v>124</v>
      </c>
      <c r="Z220" t="s">
        <v>58</v>
      </c>
      <c r="AA220" t="s">
        <v>254</v>
      </c>
      <c r="AB220" t="s">
        <v>71</v>
      </c>
      <c r="AC220" t="s">
        <v>185</v>
      </c>
      <c r="AD220" t="s">
        <v>127</v>
      </c>
      <c r="AE220" t="s">
        <v>87</v>
      </c>
      <c r="AG220" t="s">
        <v>88</v>
      </c>
      <c r="AI220" t="s">
        <v>54</v>
      </c>
      <c r="AM220" t="s">
        <v>89</v>
      </c>
    </row>
    <row r="221" spans="1:52">
      <c r="A221">
        <f>HYPERLINK("https://edge.metroleads.com/companies/0c7e9033-589f-47bc-8bd1-ed16f4709436/leads#/lead/46ec9e32-5258-48b4-91a1-21b6c354650b", "46ec9e32-5258-48b4-91a1-21b6c354650b")</f>
        <v/>
      </c>
      <c r="B221" t="s">
        <v>1423</v>
      </c>
      <c r="C221" t="s">
        <v>34</v>
      </c>
      <c r="D221" t="s">
        <v>539</v>
      </c>
      <c r="E221" t="s">
        <v>51</v>
      </c>
      <c r="F221" t="s">
        <v>103</v>
      </c>
      <c r="G221" t="s">
        <v>1424</v>
      </c>
      <c r="H221" t="s">
        <v>265</v>
      </c>
      <c r="I221" t="s">
        <v>1425</v>
      </c>
      <c r="J221" t="s">
        <v>1426</v>
      </c>
      <c r="Q221" t="s">
        <v>52</v>
      </c>
      <c r="R221" t="s">
        <v>1427</v>
      </c>
      <c r="S221" t="s">
        <v>1428</v>
      </c>
      <c r="W221" t="s">
        <v>124</v>
      </c>
      <c r="X221" t="s">
        <v>124</v>
      </c>
      <c r="Y221" t="s">
        <v>124</v>
      </c>
      <c r="Z221" t="s">
        <v>83</v>
      </c>
      <c r="AA221" t="s">
        <v>333</v>
      </c>
      <c r="AB221" t="s">
        <v>71</v>
      </c>
      <c r="AC221" t="s">
        <v>126</v>
      </c>
      <c r="AD221" t="s">
        <v>127</v>
      </c>
      <c r="AE221" t="s">
        <v>87</v>
      </c>
      <c r="AG221" t="s">
        <v>138</v>
      </c>
      <c r="AH221" t="s">
        <v>539</v>
      </c>
      <c r="AI221" t="s">
        <v>54</v>
      </c>
      <c r="AM221" t="s">
        <v>1429</v>
      </c>
    </row>
    <row r="222" spans="1:52">
      <c r="A222">
        <f>HYPERLINK("https://edge.metroleads.com/companies/0c7e9033-589f-47bc-8bd1-ed16f4709436/leads#/lead/452bfc99-d693-4b49-95c5-3f57cfb9dcc0", "452bfc99-d693-4b49-95c5-3f57cfb9dcc0")</f>
        <v/>
      </c>
      <c r="B222" t="s">
        <v>1430</v>
      </c>
      <c r="C222" t="s">
        <v>34</v>
      </c>
      <c r="D222" t="s">
        <v>117</v>
      </c>
      <c r="E222" t="s">
        <v>51</v>
      </c>
      <c r="F222" t="s">
        <v>103</v>
      </c>
      <c r="G222" t="s">
        <v>1431</v>
      </c>
      <c r="H222" t="s">
        <v>65</v>
      </c>
      <c r="I222" t="s">
        <v>1432</v>
      </c>
      <c r="J222" t="s">
        <v>1433</v>
      </c>
      <c r="Q222" t="s">
        <v>52</v>
      </c>
      <c r="R222" t="s">
        <v>1434</v>
      </c>
      <c r="S222" t="s">
        <v>1435</v>
      </c>
      <c r="T222" t="s">
        <v>1436</v>
      </c>
      <c r="W222" t="s">
        <v>124</v>
      </c>
      <c r="X222" t="s">
        <v>124</v>
      </c>
      <c r="Z222" t="s">
        <v>58</v>
      </c>
      <c r="AA222" t="s">
        <v>254</v>
      </c>
      <c r="AB222" t="s">
        <v>71</v>
      </c>
      <c r="AC222" t="s">
        <v>185</v>
      </c>
      <c r="AD222" t="s">
        <v>1437</v>
      </c>
      <c r="AE222" t="s">
        <v>87</v>
      </c>
      <c r="AG222" t="s">
        <v>88</v>
      </c>
      <c r="AJ222" t="s">
        <v>1438</v>
      </c>
      <c r="AL222" t="s">
        <v>1439</v>
      </c>
      <c r="AM222" t="s">
        <v>1244</v>
      </c>
    </row>
    <row r="223" spans="1:52">
      <c r="A223">
        <f>HYPERLINK("https://edge.metroleads.com/companies/0c7e9033-589f-47bc-8bd1-ed16f4709436/leads#/lead/26ecbb68-e857-4e28-9b96-17636e8b635c", "26ecbb68-e857-4e28-9b96-17636e8b635c")</f>
        <v/>
      </c>
      <c r="B223" t="s">
        <v>1440</v>
      </c>
      <c r="C223" t="s">
        <v>34</v>
      </c>
      <c r="D223" t="s">
        <v>539</v>
      </c>
      <c r="E223" t="s">
        <v>51</v>
      </c>
      <c r="F223" t="s">
        <v>103</v>
      </c>
      <c r="G223" t="s">
        <v>1441</v>
      </c>
      <c r="H223" t="s">
        <v>65</v>
      </c>
      <c r="I223" t="s">
        <v>1442</v>
      </c>
      <c r="J223" t="s">
        <v>1443</v>
      </c>
      <c r="Q223" t="s">
        <v>52</v>
      </c>
      <c r="R223" t="s">
        <v>987</v>
      </c>
      <c r="S223" t="s">
        <v>1444</v>
      </c>
      <c r="T223" t="s">
        <v>1445</v>
      </c>
      <c r="W223" t="s">
        <v>124</v>
      </c>
      <c r="X223" t="s">
        <v>124</v>
      </c>
      <c r="Y223" t="s">
        <v>124</v>
      </c>
      <c r="Z223" t="s">
        <v>83</v>
      </c>
      <c r="AA223" t="s">
        <v>125</v>
      </c>
      <c r="AB223" t="s">
        <v>71</v>
      </c>
      <c r="AC223" t="s">
        <v>126</v>
      </c>
      <c r="AD223" t="s">
        <v>127</v>
      </c>
      <c r="AE223" t="s">
        <v>87</v>
      </c>
      <c r="AG223" t="s">
        <v>88</v>
      </c>
      <c r="AH223" t="s">
        <v>539</v>
      </c>
      <c r="AI223" t="s">
        <v>54</v>
      </c>
      <c r="AM223" t="s">
        <v>1429</v>
      </c>
    </row>
    <row r="224" spans="1:52">
      <c r="A224">
        <f>HYPERLINK("https://edge.metroleads.com/companies/0c7e9033-589f-47bc-8bd1-ed16f4709436/leads#/lead/dfa83a57-faec-4b99-968f-1a03df2a7835", "dfa83a57-faec-4b99-968f-1a03df2a7835")</f>
        <v/>
      </c>
      <c r="B224" t="s">
        <v>1446</v>
      </c>
      <c r="C224" t="s">
        <v>54</v>
      </c>
      <c r="D224" t="s">
        <v>117</v>
      </c>
      <c r="E224" t="s">
        <v>51</v>
      </c>
      <c r="F224" t="s">
        <v>78</v>
      </c>
      <c r="G224" t="s">
        <v>1447</v>
      </c>
      <c r="H224" t="s">
        <v>119</v>
      </c>
      <c r="I224" t="s">
        <v>1448</v>
      </c>
      <c r="J224" t="s">
        <v>1449</v>
      </c>
      <c r="W224" t="s">
        <v>124</v>
      </c>
      <c r="X224" t="s">
        <v>124</v>
      </c>
      <c r="Z224" t="s">
        <v>222</v>
      </c>
      <c r="AA224" t="s">
        <v>125</v>
      </c>
      <c r="AB224" t="s">
        <v>71</v>
      </c>
      <c r="AC224" t="s">
        <v>126</v>
      </c>
      <c r="AE224" t="s">
        <v>87</v>
      </c>
      <c r="AG224" t="s">
        <v>88</v>
      </c>
      <c r="AI224" t="s">
        <v>49</v>
      </c>
      <c r="AJ224" t="s">
        <v>1450</v>
      </c>
      <c r="AM224" t="s">
        <v>139</v>
      </c>
    </row>
    <row r="225" spans="1:52">
      <c r="A225">
        <f>HYPERLINK("https://edge.metroleads.com/companies/0c7e9033-589f-47bc-8bd1-ed16f4709436/leads#/lead/e1671f6c-608d-4d25-9750-b35d2d2b9c6d", "e1671f6c-608d-4d25-9750-b35d2d2b9c6d")</f>
        <v/>
      </c>
      <c r="B225" t="s">
        <v>1451</v>
      </c>
      <c r="C225" t="s">
        <v>34</v>
      </c>
      <c r="D225" t="s">
        <v>539</v>
      </c>
      <c r="E225" t="s">
        <v>51</v>
      </c>
      <c r="F225" t="s">
        <v>103</v>
      </c>
      <c r="G225" t="s">
        <v>1452</v>
      </c>
      <c r="H225" t="s">
        <v>119</v>
      </c>
      <c r="I225" t="s">
        <v>1453</v>
      </c>
      <c r="J225" t="s">
        <v>1454</v>
      </c>
      <c r="Q225" t="s">
        <v>52</v>
      </c>
      <c r="R225" t="s">
        <v>1455</v>
      </c>
      <c r="T225" t="s">
        <v>1456</v>
      </c>
      <c r="W225" t="s">
        <v>124</v>
      </c>
      <c r="X225" t="s">
        <v>124</v>
      </c>
      <c r="Y225" t="s">
        <v>124</v>
      </c>
      <c r="Z225" t="s">
        <v>58</v>
      </c>
      <c r="AA225" t="s">
        <v>254</v>
      </c>
      <c r="AB225" t="s">
        <v>71</v>
      </c>
      <c r="AC225" t="s">
        <v>658</v>
      </c>
      <c r="AD225" t="s">
        <v>127</v>
      </c>
      <c r="AE225" t="s">
        <v>87</v>
      </c>
      <c r="AG225" t="s">
        <v>198</v>
      </c>
      <c r="AH225" t="s">
        <v>539</v>
      </c>
      <c r="AI225" t="s">
        <v>54</v>
      </c>
      <c r="AM225" t="s">
        <v>151</v>
      </c>
    </row>
  </sheetData>
  <pageMargins bottom="1" footer="0.5" header="0.5" left="0.75" right="0.75" top="1"/>
</worksheet>
</file>

<file path=docProps/app.xml><?xml version="1.0" encoding="utf-8"?>
<Properties xmlns="http://schemas.openxmlformats.org/officeDocument/2006/extended-properties">
  <Application>Microsoft Excel</Application>
  <AppVersion>2.5</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2026-01-28T09:39:24Z</dcterms:created>
  <dcterms:modified xsi:type="dcterms:W3CDTF">2026-01-28T09:39:24Z</dcterms:modified>
</cp:coreProperties>
</file>